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undacionlibertadores-my.sharepoint.com/personal/rebarberir_libertadores_edu_co/Documents/LIBERTADORES/OTROS/"/>
    </mc:Choice>
  </mc:AlternateContent>
  <xr:revisionPtr revIDLastSave="271" documentId="8_{41E2187F-230F-4C0A-B83D-E27B9286B88C}" xr6:coauthVersionLast="47" xr6:coauthVersionMax="47" xr10:uidLastSave="{F1B4A5B5-5F04-4A57-9A75-D110F8744ABE}"/>
  <bookViews>
    <workbookView xWindow="-120" yWindow="-120" windowWidth="29040" windowHeight="15720" xr2:uid="{00000000-000D-0000-FFFF-FFFF00000000}"/>
  </bookViews>
  <sheets>
    <sheet name="data" sheetId="1" r:id="rId1"/>
    <sheet name="atributtes" sheetId="3" r:id="rId2"/>
    <sheet name="mdl_lineal" sheetId="4" r:id="rId3"/>
    <sheet name="evaluacion" sheetId="5" r:id="rId4"/>
  </sheets>
  <definedNames>
    <definedName name="SegmentaciónDeDatos_item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E3" i="5"/>
  <c r="N125" i="1"/>
  <c r="N121" i="1"/>
  <c r="N122" i="1"/>
  <c r="N123" i="1"/>
  <c r="N124" i="1"/>
  <c r="D15" i="5"/>
  <c r="C15" i="5"/>
  <c r="N110" i="1"/>
  <c r="N111" i="1"/>
  <c r="N112" i="1"/>
  <c r="N113" i="1"/>
  <c r="N114" i="1"/>
  <c r="N115" i="1"/>
  <c r="N116" i="1"/>
  <c r="N117" i="1"/>
  <c r="N118" i="1"/>
  <c r="N119" i="1"/>
  <c r="N120" i="1"/>
  <c r="F2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</calcChain>
</file>

<file path=xl/sharedStrings.xml><?xml version="1.0" encoding="utf-8"?>
<sst xmlns="http://schemas.openxmlformats.org/spreadsheetml/2006/main" count="233" uniqueCount="82">
  <si>
    <t>item</t>
  </si>
  <si>
    <t>peso_kg</t>
  </si>
  <si>
    <t>peso_g</t>
  </si>
  <si>
    <t>peso_l</t>
  </si>
  <si>
    <t>peso_ml</t>
  </si>
  <si>
    <t>unidad</t>
  </si>
  <si>
    <t>sub_unidades</t>
  </si>
  <si>
    <t>periodo</t>
  </si>
  <si>
    <t>promocion</t>
  </si>
  <si>
    <t>Leche</t>
  </si>
  <si>
    <t>Huevos</t>
  </si>
  <si>
    <t>Mantequilla</t>
  </si>
  <si>
    <t>Aceite</t>
  </si>
  <si>
    <t>Arroz</t>
  </si>
  <si>
    <t>Item</t>
  </si>
  <si>
    <t>valor_individual</t>
  </si>
  <si>
    <t>valor_total</t>
  </si>
  <si>
    <t>Cafe Tradicional</t>
  </si>
  <si>
    <t>Cafe Instanteneo</t>
  </si>
  <si>
    <t>Panela</t>
  </si>
  <si>
    <t>Condimentos</t>
  </si>
  <si>
    <t>Harina de Trigo</t>
  </si>
  <si>
    <t>Jabon Liquido (Loza)</t>
  </si>
  <si>
    <t>Ambientador</t>
  </si>
  <si>
    <t>Papel Higienico</t>
  </si>
  <si>
    <t>Salsa Soya</t>
  </si>
  <si>
    <t>Salsa Teriyaki</t>
  </si>
  <si>
    <t>Salsa Rosada</t>
  </si>
  <si>
    <t>Tajin</t>
  </si>
  <si>
    <t>Maiz Tierno</t>
  </si>
  <si>
    <t>Mogollas</t>
  </si>
  <si>
    <t>Pan Tajado</t>
  </si>
  <si>
    <t>Tampico</t>
  </si>
  <si>
    <t>Yogoyogo</t>
  </si>
  <si>
    <t>Harina de Arepas</t>
  </si>
  <si>
    <t>Frijol Rojo</t>
  </si>
  <si>
    <t>Scott</t>
  </si>
  <si>
    <t>Jabon en Polvo (Ropa)</t>
  </si>
  <si>
    <t>Clorox</t>
  </si>
  <si>
    <t>Bolsa de Basura</t>
  </si>
  <si>
    <t>detalle</t>
  </si>
  <si>
    <t>Pasta</t>
  </si>
  <si>
    <t>Gaseosa</t>
  </si>
  <si>
    <t>Queso Tajado</t>
  </si>
  <si>
    <t>Mortadela</t>
  </si>
  <si>
    <t>Lenteja</t>
  </si>
  <si>
    <t>Sal</t>
  </si>
  <si>
    <t>Ramen</t>
  </si>
  <si>
    <t>Salsa BBQ</t>
  </si>
  <si>
    <t>Servilletas</t>
  </si>
  <si>
    <t>Salchicha</t>
  </si>
  <si>
    <t>Yuca para Fritar</t>
  </si>
  <si>
    <t>Galletas Saltin</t>
  </si>
  <si>
    <t>Galletas Noel</t>
  </si>
  <si>
    <t>Galleta Ramo</t>
  </si>
  <si>
    <t>Bocadillo</t>
  </si>
  <si>
    <t>Salsa de Tomate</t>
  </si>
  <si>
    <t>Garbanzo</t>
  </si>
  <si>
    <t>Arveja</t>
  </si>
  <si>
    <t>Pastillas para Tanque</t>
  </si>
  <si>
    <t>quincena</t>
  </si>
  <si>
    <t>arepas</t>
  </si>
  <si>
    <t>negro</t>
  </si>
  <si>
    <t>blanca</t>
  </si>
  <si>
    <t>Pasta Concohas</t>
  </si>
  <si>
    <t>Espagueti Doria</t>
  </si>
  <si>
    <t>Pasta Seco</t>
  </si>
  <si>
    <t>Azucar</t>
  </si>
  <si>
    <t>Salsa Pasta</t>
  </si>
  <si>
    <t>Fideos Arroz</t>
  </si>
  <si>
    <t>Salsa Boloñesa</t>
  </si>
  <si>
    <t>Jabon Solido (Loza)</t>
  </si>
  <si>
    <t>vlr_ttl_coalesce</t>
  </si>
  <si>
    <t>med_valor</t>
  </si>
  <si>
    <t>vlr_proyectado</t>
  </si>
  <si>
    <t>vlr_real</t>
  </si>
  <si>
    <t>Total</t>
  </si>
  <si>
    <t>2.5</t>
  </si>
  <si>
    <t>desviacion</t>
  </si>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</sst>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pivotButton="1" applyFont="1"/>
    <xf numFmtId="164" fontId="1" fillId="0" borderId="0" xfId="0" applyNumberFormat="1" applyFont="1"/>
    <xf numFmtId="0" fontId="2" fillId="2" borderId="3" xfId="0" applyFont="1" applyFill="1" applyBorder="1"/>
    <xf numFmtId="164" fontId="0" fillId="0" borderId="4" xfId="0" applyNumberFormat="1" applyBorder="1"/>
    <xf numFmtId="0" fontId="2" fillId="2" borderId="2" xfId="0" applyFont="1" applyFill="1" applyBorder="1"/>
    <xf numFmtId="164" fontId="0" fillId="0" borderId="2" xfId="0" applyNumberFormat="1" applyBorder="1"/>
    <xf numFmtId="164" fontId="2" fillId="2" borderId="3" xfId="0" applyNumberFormat="1" applyFont="1" applyFill="1" applyBorder="1"/>
    <xf numFmtId="0" fontId="0" fillId="0" borderId="4" xfId="0" applyBorder="1" applyAlignment="1">
      <alignment horizontal="left"/>
    </xf>
    <xf numFmtId="0" fontId="1" fillId="0" borderId="0" xfId="0" applyFont="1" applyAlignment="1">
      <alignment horizontal="left"/>
    </xf>
    <xf numFmtId="10" fontId="0" fillId="0" borderId="4" xfId="0" applyNumberFormat="1" applyBorder="1"/>
    <xf numFmtId="0" fontId="1" fillId="0" borderId="5" xfId="0" applyFont="1" applyBorder="1"/>
    <xf numFmtId="0" fontId="0" fillId="0" borderId="0" xfId="0" pivotButton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font>
        <b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lef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733424</xdr:colOff>
      <xdr:row>2</xdr:row>
      <xdr:rowOff>85725</xdr:rowOff>
    </xdr:from>
    <xdr:to>
      <xdr:col>9</xdr:col>
      <xdr:colOff>0</xdr:colOff>
      <xdr:row>22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item">
              <a:extLst>
                <a:ext uri="{FF2B5EF4-FFF2-40B4-BE49-F238E27FC236}">
                  <a16:creationId xmlns:a16="http://schemas.microsoft.com/office/drawing/2014/main" id="{71B7B47E-E8AB-7532-209D-F87FFD7D82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6649" y="485775"/>
              <a:ext cx="3838576" cy="3724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d Barberi" refreshedDate="45960.989335763887" createdVersion="8" refreshedVersion="8" minRefreshableVersion="3" recordCount="124" xr:uid="{8655F885-5AF4-472C-84BB-D7A9AA513689}">
  <cacheSource type="worksheet">
    <worksheetSource name="Tabla2"/>
  </cacheSource>
  <cacheFields count="15">
    <cacheField name="periodo" numFmtId="0">
      <sharedItems containsSemiMixedTypes="0" containsString="0" containsNumber="1" containsInteger="1" minValue="202504" maxValue="202510"/>
    </cacheField>
    <cacheField name="quincena" numFmtId="0">
      <sharedItems containsSemiMixedTypes="0" containsString="0" containsNumber="1" containsInteger="1" minValue="1" maxValue="15"/>
    </cacheField>
    <cacheField name="item" numFmtId="0">
      <sharedItems containsBlank="1" count="56">
        <s v="Arroz"/>
        <s v="Leche"/>
        <s v="Cafe Instanteneo"/>
        <s v="Cafe Tradicional"/>
        <s v="Huevos"/>
        <s v="Mantequilla"/>
        <s v="Panela"/>
        <s v="Condimentos"/>
        <s v="Harina de Trigo"/>
        <s v="Jabon Liquido (Loza)"/>
        <s v="Ambientador"/>
        <s v="Papel Higienico"/>
        <s v="Salsa Soya"/>
        <s v="Salsa Teriyaki"/>
        <s v="Salsa Rosada"/>
        <s v="Tajin"/>
        <s v="Maiz Tierno"/>
        <s v="Mogollas"/>
        <s v="Pan Tajado"/>
        <s v="Tampico"/>
        <s v="Yogoyogo"/>
        <s v="Frijol Rojo"/>
        <s v="Scott"/>
        <s v="Jabon en Polvo (Ropa)"/>
        <s v="Clorox"/>
        <s v="Bolsa de Basura"/>
        <s v="Pasta Concohas"/>
        <s v="Espagueti Doria"/>
        <s v="Gaseosa"/>
        <s v="Queso Tajado"/>
        <s v="Mortadela"/>
        <s v="Pasta Seco"/>
        <s v="Lenteja"/>
        <s v="Sal"/>
        <s v="Aceite"/>
        <s v="Ramen"/>
        <s v="Pasta"/>
        <s v="Salsa BBQ"/>
        <s v="Servilletas"/>
        <s v="Salchicha"/>
        <s v="Yuca para Fritar"/>
        <s v="Galletas Saltin"/>
        <s v="Galletas Noel"/>
        <s v="Galleta Ramo"/>
        <s v="Bocadillo"/>
        <s v="Azucar"/>
        <s v="Salsa Pasta"/>
        <s v="Salsa de Tomate"/>
        <s v="Garbanzo"/>
        <s v="Arveja"/>
        <s v="Pastillas para Tanque"/>
        <s v="Harina de Arepas"/>
        <s v="Fideos Arroz"/>
        <s v="Salsa Boloñesa"/>
        <s v="Jabon Solido (Loza)"/>
        <m u="1"/>
      </sharedItems>
    </cacheField>
    <cacheField name="detalle" numFmtId="0">
      <sharedItems containsBlank="1"/>
    </cacheField>
    <cacheField name="unidad" numFmtId="0">
      <sharedItems containsSemiMixedTypes="0" containsString="0" containsNumber="1" containsInteger="1" minValue="1" maxValue="8"/>
    </cacheField>
    <cacheField name="sub_unidades" numFmtId="0">
      <sharedItems containsString="0" containsBlank="1" containsNumber="1" containsInteger="1" minValue="3" maxValue="36"/>
    </cacheField>
    <cacheField name="promocion" numFmtId="0">
      <sharedItems containsNonDate="0" containsString="0" containsBlank="1"/>
    </cacheField>
    <cacheField name="peso_kg" numFmtId="0">
      <sharedItems containsBlank="1" containsMixedTypes="1" containsNumber="1" minValue="1" maxValue="10"/>
    </cacheField>
    <cacheField name="peso_g" numFmtId="0">
      <sharedItems containsString="0" containsBlank="1" containsNumber="1" containsInteger="1" minValue="50" maxValue="1000"/>
    </cacheField>
    <cacheField name="peso_l" numFmtId="0">
      <sharedItems containsString="0" containsBlank="1" containsNumber="1" minValue="1" maxValue="3125"/>
    </cacheField>
    <cacheField name="peso_ml" numFmtId="0">
      <sharedItems containsString="0" containsBlank="1" containsNumber="1" containsInteger="1" minValue="200" maxValue="6250"/>
    </cacheField>
    <cacheField name="valor_individual" numFmtId="0">
      <sharedItems containsString="0" containsBlank="1" containsNumber="1" containsInteger="1" minValue="2200" maxValue="49500"/>
    </cacheField>
    <cacheField name="valor_total" numFmtId="0">
      <sharedItems containsString="0" containsBlank="1" containsNumber="1" containsInteger="1" minValue="2000" maxValue="47600"/>
    </cacheField>
    <cacheField name="vlr_ttl_coalesce" numFmtId="0">
      <sharedItems containsSemiMixedTypes="0" containsString="0" containsNumber="1" containsInteger="1" minValue="2000" maxValue="86400"/>
    </cacheField>
    <cacheField name="item_encoded" numFmtId="0">
      <sharedItems containsSemiMixedTypes="0" containsString="0" containsNumber="1" containsInteger="1" minValue="1" maxValue="55" count="55">
        <n v="3"/>
        <n v="26"/>
        <n v="8"/>
        <n v="9"/>
        <n v="22"/>
        <n v="29"/>
        <n v="33"/>
        <n v="11"/>
        <n v="21"/>
        <n v="24"/>
        <n v="2"/>
        <n v="34"/>
        <n v="48"/>
        <n v="49"/>
        <n v="47"/>
        <n v="52"/>
        <n v="28"/>
        <n v="30"/>
        <n v="32"/>
        <n v="53"/>
        <n v="54"/>
        <n v="14"/>
        <n v="50"/>
        <n v="23"/>
        <n v="10"/>
        <n v="7"/>
        <n v="36"/>
        <n v="12"/>
        <n v="19"/>
        <n v="39"/>
        <n v="31"/>
        <n v="37"/>
        <n v="27"/>
        <n v="41"/>
        <n v="1"/>
        <n v="40"/>
        <n v="35"/>
        <n v="43"/>
        <n v="51"/>
        <n v="42"/>
        <n v="55"/>
        <n v="17"/>
        <n v="16"/>
        <n v="15"/>
        <n v="6"/>
        <n v="5"/>
        <n v="46"/>
        <n v="45"/>
        <n v="18"/>
        <n v="4"/>
        <n v="38"/>
        <n v="20"/>
        <n v="13"/>
        <n v="44"/>
        <n v="25"/>
      </sharedItems>
    </cacheField>
  </cacheFields>
  <extLst>
    <ext xmlns:x14="http://schemas.microsoft.com/office/spreadsheetml/2009/9/main" uri="{725AE2AE-9491-48be-B2B4-4EB974FC3084}">
      <x14:pivotCacheDefinition pivotCacheId="2323582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n v="202504"/>
    <n v="1"/>
    <x v="0"/>
    <m/>
    <n v="2"/>
    <m/>
    <m/>
    <n v="10"/>
    <m/>
    <m/>
    <m/>
    <n v="22000"/>
    <m/>
    <n v="44000"/>
    <x v="0"/>
  </r>
  <r>
    <n v="202504"/>
    <n v="1"/>
    <x v="1"/>
    <m/>
    <n v="1"/>
    <n v="6"/>
    <m/>
    <m/>
    <m/>
    <m/>
    <m/>
    <m/>
    <n v="36900"/>
    <n v="36900"/>
    <x v="1"/>
  </r>
  <r>
    <n v="202504"/>
    <n v="1"/>
    <x v="2"/>
    <m/>
    <n v="1"/>
    <m/>
    <m/>
    <m/>
    <n v="85"/>
    <m/>
    <m/>
    <n v="13300"/>
    <m/>
    <n v="13300"/>
    <x v="2"/>
  </r>
  <r>
    <n v="202504"/>
    <n v="1"/>
    <x v="3"/>
    <m/>
    <n v="1"/>
    <m/>
    <m/>
    <m/>
    <n v="425"/>
    <m/>
    <m/>
    <n v="19400"/>
    <m/>
    <n v="19400"/>
    <x v="3"/>
  </r>
  <r>
    <n v="202504"/>
    <n v="1"/>
    <x v="4"/>
    <m/>
    <n v="3"/>
    <n v="30"/>
    <m/>
    <m/>
    <m/>
    <m/>
    <m/>
    <n v="28800"/>
    <m/>
    <n v="86400"/>
    <x v="4"/>
  </r>
  <r>
    <n v="202504"/>
    <n v="1"/>
    <x v="5"/>
    <m/>
    <n v="2"/>
    <m/>
    <m/>
    <m/>
    <n v="500"/>
    <m/>
    <m/>
    <n v="15600"/>
    <m/>
    <n v="31200"/>
    <x v="5"/>
  </r>
  <r>
    <n v="202504"/>
    <n v="1"/>
    <x v="6"/>
    <m/>
    <n v="3"/>
    <m/>
    <m/>
    <m/>
    <n v="300"/>
    <m/>
    <m/>
    <n v="2634"/>
    <n v="7900"/>
    <n v="7900"/>
    <x v="6"/>
  </r>
  <r>
    <n v="202504"/>
    <n v="1"/>
    <x v="7"/>
    <m/>
    <n v="4"/>
    <m/>
    <m/>
    <m/>
    <m/>
    <m/>
    <m/>
    <n v="3850"/>
    <m/>
    <n v="15400"/>
    <x v="7"/>
  </r>
  <r>
    <n v="202504"/>
    <n v="1"/>
    <x v="8"/>
    <m/>
    <n v="2"/>
    <m/>
    <m/>
    <n v="1"/>
    <m/>
    <m/>
    <m/>
    <n v="4200"/>
    <m/>
    <n v="8400"/>
    <x v="8"/>
  </r>
  <r>
    <n v="202504"/>
    <n v="1"/>
    <x v="9"/>
    <m/>
    <n v="1"/>
    <m/>
    <m/>
    <m/>
    <m/>
    <n v="1.5"/>
    <m/>
    <n v="17100"/>
    <m/>
    <n v="17100"/>
    <x v="9"/>
  </r>
  <r>
    <n v="202504"/>
    <n v="1"/>
    <x v="10"/>
    <m/>
    <n v="1"/>
    <m/>
    <m/>
    <m/>
    <m/>
    <n v="1"/>
    <m/>
    <n v="11200"/>
    <m/>
    <n v="11200"/>
    <x v="10"/>
  </r>
  <r>
    <n v="202504"/>
    <n v="1"/>
    <x v="11"/>
    <m/>
    <n v="2"/>
    <n v="12"/>
    <m/>
    <m/>
    <m/>
    <m/>
    <m/>
    <n v="15100"/>
    <m/>
    <n v="30200"/>
    <x v="11"/>
  </r>
  <r>
    <n v="202504"/>
    <n v="1"/>
    <x v="12"/>
    <m/>
    <n v="1"/>
    <m/>
    <m/>
    <m/>
    <m/>
    <m/>
    <n v="200"/>
    <n v="7000"/>
    <m/>
    <n v="7000"/>
    <x v="12"/>
  </r>
  <r>
    <n v="202504"/>
    <n v="1"/>
    <x v="13"/>
    <m/>
    <n v="1"/>
    <m/>
    <m/>
    <m/>
    <n v="200"/>
    <m/>
    <m/>
    <n v="6100"/>
    <m/>
    <n v="6100"/>
    <x v="13"/>
  </r>
  <r>
    <n v="202504"/>
    <n v="1"/>
    <x v="14"/>
    <m/>
    <n v="1"/>
    <m/>
    <m/>
    <m/>
    <n v="200"/>
    <m/>
    <m/>
    <n v="6100"/>
    <m/>
    <n v="6100"/>
    <x v="14"/>
  </r>
  <r>
    <n v="202504"/>
    <n v="1"/>
    <x v="15"/>
    <m/>
    <n v="1"/>
    <m/>
    <m/>
    <m/>
    <n v="142"/>
    <m/>
    <m/>
    <n v="14000"/>
    <m/>
    <n v="14000"/>
    <x v="15"/>
  </r>
  <r>
    <n v="202504"/>
    <n v="1"/>
    <x v="16"/>
    <m/>
    <n v="2"/>
    <m/>
    <m/>
    <m/>
    <n v="190"/>
    <m/>
    <m/>
    <n v="9800"/>
    <m/>
    <n v="19600"/>
    <x v="16"/>
  </r>
  <r>
    <n v="202504"/>
    <n v="1"/>
    <x v="17"/>
    <m/>
    <n v="1"/>
    <m/>
    <m/>
    <m/>
    <n v="310"/>
    <m/>
    <m/>
    <n v="4800"/>
    <m/>
    <n v="4800"/>
    <x v="17"/>
  </r>
  <r>
    <n v="202504"/>
    <n v="1"/>
    <x v="18"/>
    <m/>
    <n v="1"/>
    <m/>
    <m/>
    <m/>
    <n v="550"/>
    <m/>
    <m/>
    <n v="6000"/>
    <m/>
    <n v="6000"/>
    <x v="18"/>
  </r>
  <r>
    <n v="202504"/>
    <n v="1"/>
    <x v="19"/>
    <m/>
    <n v="2"/>
    <n v="7"/>
    <m/>
    <m/>
    <m/>
    <m/>
    <m/>
    <n v="4800"/>
    <m/>
    <n v="9600"/>
    <x v="19"/>
  </r>
  <r>
    <n v="202504"/>
    <n v="1"/>
    <x v="20"/>
    <m/>
    <n v="2"/>
    <n v="8"/>
    <m/>
    <m/>
    <m/>
    <m/>
    <m/>
    <n v="11500"/>
    <m/>
    <n v="23000"/>
    <x v="20"/>
  </r>
  <r>
    <n v="202504"/>
    <n v="15"/>
    <x v="1"/>
    <m/>
    <n v="1"/>
    <n v="6"/>
    <m/>
    <m/>
    <m/>
    <m/>
    <m/>
    <m/>
    <n v="36900"/>
    <n v="36900"/>
    <x v="1"/>
  </r>
  <r>
    <n v="202504"/>
    <n v="15"/>
    <x v="4"/>
    <m/>
    <n v="3"/>
    <n v="30"/>
    <m/>
    <m/>
    <m/>
    <m/>
    <m/>
    <n v="14600"/>
    <m/>
    <n v="43800"/>
    <x v="4"/>
  </r>
  <r>
    <n v="202504"/>
    <n v="15"/>
    <x v="8"/>
    <s v="arepas"/>
    <n v="1"/>
    <m/>
    <m/>
    <n v="1"/>
    <m/>
    <m/>
    <m/>
    <n v="3800"/>
    <m/>
    <n v="3800"/>
    <x v="8"/>
  </r>
  <r>
    <n v="202504"/>
    <n v="15"/>
    <x v="21"/>
    <m/>
    <n v="1"/>
    <m/>
    <m/>
    <m/>
    <n v="500"/>
    <m/>
    <m/>
    <n v="6000"/>
    <m/>
    <n v="6000"/>
    <x v="21"/>
  </r>
  <r>
    <n v="202504"/>
    <n v="15"/>
    <x v="22"/>
    <m/>
    <n v="1"/>
    <m/>
    <m/>
    <m/>
    <m/>
    <m/>
    <m/>
    <n v="6700"/>
    <m/>
    <n v="6700"/>
    <x v="22"/>
  </r>
  <r>
    <n v="202504"/>
    <n v="15"/>
    <x v="23"/>
    <m/>
    <n v="1"/>
    <m/>
    <m/>
    <n v="3.5"/>
    <m/>
    <m/>
    <m/>
    <n v="37800"/>
    <m/>
    <n v="37800"/>
    <x v="23"/>
  </r>
  <r>
    <n v="202504"/>
    <n v="15"/>
    <x v="9"/>
    <m/>
    <n v="2"/>
    <m/>
    <m/>
    <m/>
    <n v="450"/>
    <m/>
    <m/>
    <n v="17100"/>
    <m/>
    <n v="34200"/>
    <x v="9"/>
  </r>
  <r>
    <n v="202504"/>
    <n v="15"/>
    <x v="10"/>
    <m/>
    <n v="1"/>
    <m/>
    <m/>
    <m/>
    <m/>
    <n v="1"/>
    <m/>
    <n v="11200"/>
    <m/>
    <n v="11200"/>
    <x v="10"/>
  </r>
  <r>
    <n v="202504"/>
    <n v="15"/>
    <x v="24"/>
    <m/>
    <n v="1"/>
    <m/>
    <m/>
    <m/>
    <m/>
    <n v="3.8"/>
    <m/>
    <n v="16200"/>
    <m/>
    <n v="16200"/>
    <x v="24"/>
  </r>
  <r>
    <n v="202504"/>
    <n v="15"/>
    <x v="25"/>
    <s v="negro"/>
    <n v="1"/>
    <n v="10"/>
    <m/>
    <m/>
    <m/>
    <m/>
    <m/>
    <n v="2200"/>
    <m/>
    <n v="2200"/>
    <x v="25"/>
  </r>
  <r>
    <n v="202504"/>
    <n v="15"/>
    <x v="25"/>
    <s v="blanca"/>
    <n v="1"/>
    <n v="10"/>
    <m/>
    <m/>
    <m/>
    <m/>
    <m/>
    <n v="2200"/>
    <m/>
    <n v="2200"/>
    <x v="25"/>
  </r>
  <r>
    <n v="202504"/>
    <n v="15"/>
    <x v="26"/>
    <m/>
    <n v="1"/>
    <m/>
    <m/>
    <m/>
    <n v="250"/>
    <m/>
    <m/>
    <n v="2200"/>
    <m/>
    <n v="2200"/>
    <x v="26"/>
  </r>
  <r>
    <n v="202504"/>
    <n v="15"/>
    <x v="27"/>
    <m/>
    <n v="1"/>
    <m/>
    <m/>
    <m/>
    <n v="250"/>
    <m/>
    <m/>
    <n v="2200"/>
    <m/>
    <n v="2200"/>
    <x v="27"/>
  </r>
  <r>
    <n v="202504"/>
    <n v="15"/>
    <x v="28"/>
    <m/>
    <n v="3"/>
    <m/>
    <m/>
    <m/>
    <m/>
    <n v="1.5"/>
    <m/>
    <n v="14300"/>
    <m/>
    <n v="42900"/>
    <x v="28"/>
  </r>
  <r>
    <n v="202504"/>
    <n v="15"/>
    <x v="19"/>
    <m/>
    <n v="2"/>
    <n v="6"/>
    <m/>
    <m/>
    <m/>
    <m/>
    <m/>
    <n v="4800"/>
    <m/>
    <n v="9600"/>
    <x v="19"/>
  </r>
  <r>
    <n v="202504"/>
    <n v="15"/>
    <x v="29"/>
    <m/>
    <n v="1"/>
    <m/>
    <m/>
    <m/>
    <n v="500"/>
    <m/>
    <m/>
    <n v="15800"/>
    <m/>
    <n v="15800"/>
    <x v="29"/>
  </r>
  <r>
    <n v="202504"/>
    <n v="15"/>
    <x v="17"/>
    <m/>
    <n v="1"/>
    <n v="12"/>
    <m/>
    <m/>
    <n v="500"/>
    <m/>
    <m/>
    <n v="6100"/>
    <m/>
    <n v="6100"/>
    <x v="17"/>
  </r>
  <r>
    <n v="202504"/>
    <n v="15"/>
    <x v="30"/>
    <m/>
    <n v="1"/>
    <m/>
    <m/>
    <m/>
    <n v="450"/>
    <m/>
    <m/>
    <n v="10000"/>
    <m/>
    <n v="10000"/>
    <x v="30"/>
  </r>
  <r>
    <n v="202505"/>
    <n v="15"/>
    <x v="1"/>
    <m/>
    <n v="1"/>
    <n v="6"/>
    <m/>
    <m/>
    <m/>
    <m/>
    <m/>
    <m/>
    <n v="39200"/>
    <n v="39200"/>
    <x v="1"/>
  </r>
  <r>
    <n v="202505"/>
    <n v="15"/>
    <x v="5"/>
    <m/>
    <n v="1"/>
    <m/>
    <m/>
    <m/>
    <n v="500"/>
    <m/>
    <m/>
    <n v="7800"/>
    <m/>
    <n v="7800"/>
    <x v="5"/>
  </r>
  <r>
    <n v="202505"/>
    <n v="15"/>
    <x v="31"/>
    <m/>
    <n v="2"/>
    <m/>
    <m/>
    <m/>
    <n v="250"/>
    <m/>
    <m/>
    <n v="2200"/>
    <m/>
    <n v="4400"/>
    <x v="31"/>
  </r>
  <r>
    <n v="202505"/>
    <n v="15"/>
    <x v="21"/>
    <m/>
    <n v="2"/>
    <m/>
    <m/>
    <m/>
    <n v="500"/>
    <m/>
    <m/>
    <n v="6000"/>
    <m/>
    <n v="12000"/>
    <x v="21"/>
  </r>
  <r>
    <n v="202505"/>
    <n v="15"/>
    <x v="32"/>
    <m/>
    <n v="2"/>
    <m/>
    <m/>
    <m/>
    <n v="500"/>
    <m/>
    <m/>
    <n v="4400"/>
    <m/>
    <n v="8800"/>
    <x v="32"/>
  </r>
  <r>
    <n v="202505"/>
    <n v="15"/>
    <x v="33"/>
    <m/>
    <n v="1"/>
    <m/>
    <m/>
    <n v="3"/>
    <m/>
    <m/>
    <m/>
    <n v="7200"/>
    <n v="7200"/>
    <n v="7200"/>
    <x v="33"/>
  </r>
  <r>
    <n v="202505"/>
    <n v="15"/>
    <x v="3"/>
    <m/>
    <n v="1"/>
    <m/>
    <m/>
    <m/>
    <n v="425"/>
    <m/>
    <m/>
    <n v="19400"/>
    <n v="19400"/>
    <n v="19400"/>
    <x v="3"/>
  </r>
  <r>
    <n v="202505"/>
    <n v="15"/>
    <x v="34"/>
    <m/>
    <n v="1"/>
    <m/>
    <m/>
    <m/>
    <m/>
    <m/>
    <n v="2000"/>
    <n v="29400"/>
    <n v="29400"/>
    <n v="29400"/>
    <x v="34"/>
  </r>
  <r>
    <n v="202505"/>
    <n v="15"/>
    <x v="23"/>
    <m/>
    <n v="1"/>
    <m/>
    <m/>
    <n v="4"/>
    <m/>
    <m/>
    <m/>
    <n v="47600"/>
    <n v="47600"/>
    <n v="47600"/>
    <x v="23"/>
  </r>
  <r>
    <n v="202505"/>
    <n v="15"/>
    <x v="11"/>
    <m/>
    <n v="2"/>
    <n v="12"/>
    <m/>
    <m/>
    <m/>
    <m/>
    <m/>
    <n v="16700"/>
    <m/>
    <n v="33400"/>
    <x v="11"/>
  </r>
  <r>
    <n v="202505"/>
    <n v="15"/>
    <x v="10"/>
    <m/>
    <n v="1"/>
    <m/>
    <m/>
    <m/>
    <m/>
    <n v="1"/>
    <m/>
    <m/>
    <n v="11200"/>
    <n v="11200"/>
    <x v="10"/>
  </r>
  <r>
    <n v="202505"/>
    <n v="15"/>
    <x v="35"/>
    <m/>
    <n v="2"/>
    <m/>
    <m/>
    <m/>
    <n v="85"/>
    <m/>
    <m/>
    <m/>
    <n v="2000"/>
    <n v="2000"/>
    <x v="35"/>
  </r>
  <r>
    <n v="202505"/>
    <n v="15"/>
    <x v="7"/>
    <m/>
    <n v="5"/>
    <m/>
    <m/>
    <m/>
    <n v="50"/>
    <m/>
    <m/>
    <n v="4500"/>
    <m/>
    <n v="22500"/>
    <x v="7"/>
  </r>
  <r>
    <n v="202505"/>
    <n v="15"/>
    <x v="36"/>
    <m/>
    <n v="4"/>
    <m/>
    <m/>
    <m/>
    <n v="250"/>
    <m/>
    <m/>
    <n v="2200"/>
    <m/>
    <n v="8800"/>
    <x v="36"/>
  </r>
  <r>
    <n v="202505"/>
    <n v="15"/>
    <x v="8"/>
    <m/>
    <n v="1"/>
    <m/>
    <m/>
    <n v="1"/>
    <m/>
    <m/>
    <m/>
    <m/>
    <n v="4400"/>
    <n v="4400"/>
    <x v="8"/>
  </r>
  <r>
    <n v="202505"/>
    <n v="15"/>
    <x v="37"/>
    <m/>
    <n v="1"/>
    <m/>
    <m/>
    <m/>
    <n v="1000"/>
    <m/>
    <m/>
    <m/>
    <n v="14100"/>
    <n v="14100"/>
    <x v="37"/>
  </r>
  <r>
    <n v="202505"/>
    <n v="15"/>
    <x v="38"/>
    <m/>
    <n v="1"/>
    <m/>
    <m/>
    <m/>
    <m/>
    <m/>
    <m/>
    <m/>
    <n v="4300"/>
    <n v="4300"/>
    <x v="38"/>
  </r>
  <r>
    <n v="202505"/>
    <n v="15"/>
    <x v="22"/>
    <m/>
    <n v="1"/>
    <m/>
    <m/>
    <m/>
    <m/>
    <m/>
    <m/>
    <m/>
    <n v="11100"/>
    <n v="11100"/>
    <x v="22"/>
  </r>
  <r>
    <n v="202505"/>
    <n v="15"/>
    <x v="16"/>
    <m/>
    <n v="1"/>
    <m/>
    <m/>
    <m/>
    <n v="500"/>
    <m/>
    <m/>
    <m/>
    <n v="11000"/>
    <n v="11000"/>
    <x v="16"/>
  </r>
  <r>
    <n v="202505"/>
    <n v="15"/>
    <x v="28"/>
    <m/>
    <n v="3"/>
    <m/>
    <m/>
    <m/>
    <m/>
    <n v="3125"/>
    <m/>
    <m/>
    <n v="14300"/>
    <n v="14300"/>
    <x v="28"/>
  </r>
  <r>
    <n v="202505"/>
    <n v="15"/>
    <x v="19"/>
    <m/>
    <n v="2"/>
    <m/>
    <m/>
    <m/>
    <m/>
    <m/>
    <n v="6250"/>
    <m/>
    <n v="4800"/>
    <n v="4800"/>
    <x v="19"/>
  </r>
  <r>
    <n v="202505"/>
    <n v="15"/>
    <x v="29"/>
    <m/>
    <n v="1"/>
    <m/>
    <m/>
    <m/>
    <n v="500"/>
    <m/>
    <m/>
    <m/>
    <n v="15800"/>
    <n v="15800"/>
    <x v="29"/>
  </r>
  <r>
    <n v="202505"/>
    <n v="15"/>
    <x v="17"/>
    <m/>
    <n v="2"/>
    <m/>
    <m/>
    <m/>
    <n v="500"/>
    <m/>
    <m/>
    <m/>
    <n v="6100"/>
    <n v="6100"/>
    <x v="17"/>
  </r>
  <r>
    <n v="202505"/>
    <n v="15"/>
    <x v="39"/>
    <m/>
    <n v="1"/>
    <m/>
    <m/>
    <m/>
    <n v="500"/>
    <m/>
    <m/>
    <m/>
    <n v="13900"/>
    <n v="13900"/>
    <x v="39"/>
  </r>
  <r>
    <n v="202505"/>
    <n v="15"/>
    <x v="40"/>
    <m/>
    <n v="2"/>
    <m/>
    <m/>
    <m/>
    <n v="1000"/>
    <m/>
    <m/>
    <m/>
    <n v="6000"/>
    <n v="6000"/>
    <x v="40"/>
  </r>
  <r>
    <n v="202505"/>
    <n v="15"/>
    <x v="41"/>
    <m/>
    <n v="1"/>
    <m/>
    <m/>
    <m/>
    <n v="354"/>
    <m/>
    <m/>
    <m/>
    <n v="7900"/>
    <n v="7900"/>
    <x v="41"/>
  </r>
  <r>
    <n v="202505"/>
    <n v="15"/>
    <x v="42"/>
    <m/>
    <n v="1"/>
    <n v="22"/>
    <m/>
    <m/>
    <m/>
    <m/>
    <m/>
    <m/>
    <n v="8400"/>
    <n v="8400"/>
    <x v="42"/>
  </r>
  <r>
    <n v="202505"/>
    <n v="15"/>
    <x v="43"/>
    <m/>
    <n v="8"/>
    <m/>
    <m/>
    <m/>
    <n v="152"/>
    <m/>
    <m/>
    <m/>
    <n v="5600"/>
    <n v="5600"/>
    <x v="43"/>
  </r>
  <r>
    <n v="202505"/>
    <n v="15"/>
    <x v="44"/>
    <m/>
    <n v="1"/>
    <n v="36"/>
    <m/>
    <m/>
    <m/>
    <m/>
    <m/>
    <m/>
    <n v="18600"/>
    <n v="18600"/>
    <x v="44"/>
  </r>
  <r>
    <n v="202507"/>
    <n v="1"/>
    <x v="1"/>
    <m/>
    <n v="1"/>
    <n v="6"/>
    <m/>
    <m/>
    <m/>
    <m/>
    <m/>
    <m/>
    <n v="35900"/>
    <n v="35900"/>
    <x v="1"/>
  </r>
  <r>
    <n v="202507"/>
    <n v="1"/>
    <x v="4"/>
    <m/>
    <n v="3"/>
    <n v="30"/>
    <m/>
    <m/>
    <m/>
    <m/>
    <m/>
    <n v="14800"/>
    <m/>
    <n v="44400"/>
    <x v="4"/>
  </r>
  <r>
    <n v="202507"/>
    <n v="1"/>
    <x v="5"/>
    <m/>
    <n v="1"/>
    <m/>
    <m/>
    <m/>
    <n v="500"/>
    <m/>
    <m/>
    <n v="9400"/>
    <m/>
    <n v="9400"/>
    <x v="5"/>
  </r>
  <r>
    <n v="202507"/>
    <n v="1"/>
    <x v="36"/>
    <m/>
    <n v="1"/>
    <m/>
    <m/>
    <m/>
    <n v="250"/>
    <m/>
    <m/>
    <n v="2200"/>
    <m/>
    <n v="2200"/>
    <x v="36"/>
  </r>
  <r>
    <n v="202507"/>
    <n v="1"/>
    <x v="34"/>
    <m/>
    <n v="1"/>
    <m/>
    <m/>
    <m/>
    <m/>
    <m/>
    <n v="2609"/>
    <n v="38900"/>
    <m/>
    <n v="38900"/>
    <x v="34"/>
  </r>
  <r>
    <n v="202507"/>
    <n v="1"/>
    <x v="0"/>
    <m/>
    <n v="1"/>
    <m/>
    <m/>
    <n v="5"/>
    <m/>
    <m/>
    <m/>
    <n v="22000"/>
    <m/>
    <n v="22000"/>
    <x v="0"/>
  </r>
  <r>
    <n v="202507"/>
    <n v="1"/>
    <x v="45"/>
    <m/>
    <n v="1"/>
    <m/>
    <m/>
    <n v="2.5"/>
    <m/>
    <m/>
    <m/>
    <n v="12000"/>
    <m/>
    <n v="12000"/>
    <x v="45"/>
  </r>
  <r>
    <n v="202507"/>
    <n v="1"/>
    <x v="46"/>
    <m/>
    <n v="2"/>
    <m/>
    <m/>
    <m/>
    <n v="50"/>
    <m/>
    <m/>
    <n v="4500"/>
    <m/>
    <n v="9000"/>
    <x v="46"/>
  </r>
  <r>
    <n v="202507"/>
    <n v="1"/>
    <x v="23"/>
    <m/>
    <n v="1"/>
    <m/>
    <m/>
    <n v="4"/>
    <m/>
    <m/>
    <m/>
    <n v="47600"/>
    <m/>
    <n v="47600"/>
    <x v="23"/>
  </r>
  <r>
    <n v="202507"/>
    <n v="1"/>
    <x v="11"/>
    <m/>
    <n v="2"/>
    <n v="12"/>
    <m/>
    <m/>
    <m/>
    <m/>
    <m/>
    <n v="16300"/>
    <m/>
    <n v="32600"/>
    <x v="11"/>
  </r>
  <r>
    <n v="202507"/>
    <n v="1"/>
    <x v="10"/>
    <m/>
    <n v="1"/>
    <m/>
    <m/>
    <m/>
    <m/>
    <n v="1"/>
    <m/>
    <n v="11200"/>
    <m/>
    <n v="11200"/>
    <x v="10"/>
  </r>
  <r>
    <n v="202507"/>
    <n v="1"/>
    <x v="24"/>
    <m/>
    <n v="1"/>
    <m/>
    <m/>
    <m/>
    <m/>
    <n v="3.8"/>
    <m/>
    <n v="16200"/>
    <m/>
    <n v="16200"/>
    <x v="24"/>
  </r>
  <r>
    <n v="202507"/>
    <n v="1"/>
    <x v="47"/>
    <m/>
    <n v="1"/>
    <m/>
    <m/>
    <m/>
    <n v="190"/>
    <m/>
    <m/>
    <n v="6600"/>
    <m/>
    <n v="6600"/>
    <x v="47"/>
  </r>
  <r>
    <n v="202507"/>
    <n v="1"/>
    <x v="48"/>
    <m/>
    <n v="1"/>
    <m/>
    <m/>
    <m/>
    <n v="500"/>
    <m/>
    <m/>
    <n v="5600"/>
    <m/>
    <n v="5600"/>
    <x v="48"/>
  </r>
  <r>
    <n v="202507"/>
    <n v="1"/>
    <x v="49"/>
    <m/>
    <n v="1"/>
    <m/>
    <m/>
    <m/>
    <m/>
    <m/>
    <m/>
    <n v="2400"/>
    <m/>
    <n v="2400"/>
    <x v="49"/>
  </r>
  <r>
    <n v="202507"/>
    <n v="1"/>
    <x v="50"/>
    <m/>
    <n v="1"/>
    <n v="3"/>
    <m/>
    <m/>
    <m/>
    <m/>
    <m/>
    <n v="18600"/>
    <m/>
    <n v="18600"/>
    <x v="50"/>
  </r>
  <r>
    <n v="202507"/>
    <n v="1"/>
    <x v="22"/>
    <m/>
    <n v="1"/>
    <m/>
    <m/>
    <m/>
    <m/>
    <m/>
    <m/>
    <n v="11900"/>
    <m/>
    <n v="11900"/>
    <x v="22"/>
  </r>
  <r>
    <n v="202508"/>
    <n v="15"/>
    <x v="1"/>
    <m/>
    <n v="1"/>
    <n v="6"/>
    <m/>
    <m/>
    <m/>
    <m/>
    <m/>
    <n v="35900"/>
    <m/>
    <n v="35900"/>
    <x v="1"/>
  </r>
  <r>
    <n v="202508"/>
    <n v="15"/>
    <x v="4"/>
    <m/>
    <n v="3"/>
    <n v="30"/>
    <m/>
    <m/>
    <m/>
    <m/>
    <m/>
    <n v="13400"/>
    <m/>
    <n v="40200"/>
    <x v="4"/>
  </r>
  <r>
    <n v="202508"/>
    <n v="15"/>
    <x v="5"/>
    <m/>
    <n v="1"/>
    <m/>
    <m/>
    <m/>
    <n v="500"/>
    <m/>
    <m/>
    <n v="8400"/>
    <m/>
    <n v="8400"/>
    <x v="5"/>
  </r>
  <r>
    <n v="202508"/>
    <n v="15"/>
    <x v="6"/>
    <m/>
    <n v="1"/>
    <m/>
    <m/>
    <m/>
    <m/>
    <m/>
    <m/>
    <n v="7400"/>
    <m/>
    <n v="7400"/>
    <x v="6"/>
  </r>
  <r>
    <n v="202508"/>
    <n v="15"/>
    <x v="21"/>
    <m/>
    <n v="1"/>
    <m/>
    <m/>
    <m/>
    <n v="500"/>
    <m/>
    <m/>
    <n v="3300"/>
    <m/>
    <n v="3300"/>
    <x v="21"/>
  </r>
  <r>
    <n v="202508"/>
    <n v="15"/>
    <x v="32"/>
    <m/>
    <n v="1"/>
    <m/>
    <m/>
    <m/>
    <n v="1000"/>
    <m/>
    <m/>
    <n v="7400"/>
    <m/>
    <n v="7400"/>
    <x v="32"/>
  </r>
  <r>
    <n v="202508"/>
    <n v="15"/>
    <x v="48"/>
    <m/>
    <n v="1"/>
    <m/>
    <m/>
    <m/>
    <n v="500"/>
    <m/>
    <m/>
    <n v="3300"/>
    <m/>
    <n v="3300"/>
    <x v="48"/>
  </r>
  <r>
    <n v="202508"/>
    <n v="15"/>
    <x v="3"/>
    <m/>
    <n v="1"/>
    <m/>
    <m/>
    <m/>
    <n v="425"/>
    <m/>
    <m/>
    <n v="24900"/>
    <m/>
    <n v="24900"/>
    <x v="3"/>
  </r>
  <r>
    <n v="202508"/>
    <n v="15"/>
    <x v="2"/>
    <m/>
    <n v="1"/>
    <m/>
    <m/>
    <m/>
    <n v="85"/>
    <m/>
    <m/>
    <n v="19100"/>
    <m/>
    <n v="19100"/>
    <x v="2"/>
  </r>
  <r>
    <n v="202508"/>
    <n v="15"/>
    <x v="0"/>
    <m/>
    <n v="1"/>
    <m/>
    <m/>
    <n v="5"/>
    <m/>
    <m/>
    <m/>
    <n v="22000"/>
    <m/>
    <n v="22000"/>
    <x v="0"/>
  </r>
  <r>
    <n v="202508"/>
    <n v="15"/>
    <x v="34"/>
    <m/>
    <n v="1"/>
    <m/>
    <m/>
    <m/>
    <m/>
    <m/>
    <n v="1800"/>
    <n v="33600"/>
    <m/>
    <n v="33600"/>
    <x v="34"/>
  </r>
  <r>
    <n v="202508"/>
    <n v="15"/>
    <x v="45"/>
    <m/>
    <n v="1"/>
    <m/>
    <m/>
    <n v="2.5"/>
    <m/>
    <m/>
    <m/>
    <n v="12000"/>
    <m/>
    <n v="12000"/>
    <x v="45"/>
  </r>
  <r>
    <n v="202508"/>
    <n v="15"/>
    <x v="31"/>
    <m/>
    <n v="2"/>
    <m/>
    <m/>
    <m/>
    <n v="250"/>
    <m/>
    <m/>
    <n v="2200"/>
    <m/>
    <n v="4400"/>
    <x v="31"/>
  </r>
  <r>
    <n v="202508"/>
    <n v="15"/>
    <x v="8"/>
    <m/>
    <n v="1"/>
    <m/>
    <m/>
    <n v="1"/>
    <m/>
    <m/>
    <m/>
    <n v="4400"/>
    <m/>
    <n v="4400"/>
    <x v="8"/>
  </r>
  <r>
    <n v="202508"/>
    <n v="15"/>
    <x v="51"/>
    <m/>
    <n v="2"/>
    <m/>
    <m/>
    <n v="1"/>
    <m/>
    <m/>
    <m/>
    <n v="3400"/>
    <m/>
    <n v="6800"/>
    <x v="51"/>
  </r>
  <r>
    <n v="202508"/>
    <n v="15"/>
    <x v="23"/>
    <m/>
    <n v="1"/>
    <m/>
    <m/>
    <n v="5"/>
    <m/>
    <m/>
    <m/>
    <n v="49500"/>
    <m/>
    <n v="49500"/>
    <x v="23"/>
  </r>
  <r>
    <n v="202508"/>
    <n v="15"/>
    <x v="11"/>
    <m/>
    <n v="2"/>
    <n v="12"/>
    <m/>
    <m/>
    <m/>
    <m/>
    <m/>
    <n v="16300"/>
    <m/>
    <n v="32600"/>
    <x v="11"/>
  </r>
  <r>
    <n v="202508"/>
    <n v="15"/>
    <x v="9"/>
    <m/>
    <n v="1"/>
    <m/>
    <m/>
    <m/>
    <m/>
    <m/>
    <n v="360"/>
    <n v="5300"/>
    <m/>
    <n v="5300"/>
    <x v="9"/>
  </r>
  <r>
    <n v="202508"/>
    <n v="15"/>
    <x v="10"/>
    <m/>
    <n v="2"/>
    <m/>
    <m/>
    <m/>
    <m/>
    <m/>
    <n v="450"/>
    <n v="5000"/>
    <m/>
    <n v="10000"/>
    <x v="10"/>
  </r>
  <r>
    <n v="202508"/>
    <n v="15"/>
    <x v="52"/>
    <m/>
    <n v="1"/>
    <m/>
    <m/>
    <m/>
    <n v="500"/>
    <m/>
    <m/>
    <n v="4100"/>
    <m/>
    <n v="4100"/>
    <x v="52"/>
  </r>
  <r>
    <n v="202508"/>
    <n v="15"/>
    <x v="53"/>
    <m/>
    <n v="2"/>
    <m/>
    <m/>
    <m/>
    <n v="50"/>
    <m/>
    <m/>
    <n v="4500"/>
    <m/>
    <n v="9000"/>
    <x v="53"/>
  </r>
  <r>
    <n v="202508"/>
    <n v="15"/>
    <x v="54"/>
    <m/>
    <n v="1"/>
    <m/>
    <m/>
    <m/>
    <n v="250"/>
    <m/>
    <m/>
    <n v="3000"/>
    <m/>
    <n v="3000"/>
    <x v="54"/>
  </r>
  <r>
    <n v="202510"/>
    <n v="15"/>
    <x v="0"/>
    <m/>
    <n v="1"/>
    <m/>
    <m/>
    <n v="5"/>
    <m/>
    <m/>
    <m/>
    <n v="22000"/>
    <m/>
    <n v="22000"/>
    <x v="0"/>
  </r>
  <r>
    <n v="202510"/>
    <n v="15"/>
    <x v="45"/>
    <m/>
    <n v="1"/>
    <m/>
    <m/>
    <s v="2.5"/>
    <m/>
    <m/>
    <m/>
    <n v="12000"/>
    <m/>
    <n v="12000"/>
    <x v="45"/>
  </r>
  <r>
    <n v="202510"/>
    <n v="15"/>
    <x v="2"/>
    <m/>
    <n v="1"/>
    <m/>
    <m/>
    <m/>
    <n v="85"/>
    <m/>
    <m/>
    <n v="19100"/>
    <m/>
    <n v="19100"/>
    <x v="2"/>
  </r>
  <r>
    <n v="202510"/>
    <n v="15"/>
    <x v="3"/>
    <m/>
    <n v="1"/>
    <m/>
    <m/>
    <m/>
    <n v="425"/>
    <m/>
    <m/>
    <n v="24900"/>
    <m/>
    <n v="24900"/>
    <x v="3"/>
  </r>
  <r>
    <n v="202510"/>
    <n v="15"/>
    <x v="21"/>
    <m/>
    <n v="2"/>
    <m/>
    <m/>
    <m/>
    <n v="500"/>
    <m/>
    <m/>
    <n v="4800"/>
    <m/>
    <n v="9600"/>
    <x v="21"/>
  </r>
  <r>
    <n v="202510"/>
    <n v="15"/>
    <x v="48"/>
    <m/>
    <n v="2"/>
    <m/>
    <m/>
    <m/>
    <n v="500"/>
    <m/>
    <m/>
    <n v="3200"/>
    <m/>
    <n v="6400"/>
    <x v="48"/>
  </r>
  <r>
    <n v="202510"/>
    <n v="15"/>
    <x v="4"/>
    <m/>
    <n v="3"/>
    <n v="30"/>
    <m/>
    <m/>
    <m/>
    <m/>
    <m/>
    <n v="13400"/>
    <m/>
    <n v="40200"/>
    <x v="4"/>
  </r>
  <r>
    <n v="202510"/>
    <n v="15"/>
    <x v="23"/>
    <m/>
    <n v="1"/>
    <m/>
    <m/>
    <n v="5"/>
    <m/>
    <m/>
    <m/>
    <n v="49500"/>
    <m/>
    <n v="49500"/>
    <x v="23"/>
  </r>
  <r>
    <n v="202510"/>
    <n v="15"/>
    <x v="1"/>
    <m/>
    <n v="1"/>
    <n v="6"/>
    <m/>
    <m/>
    <m/>
    <m/>
    <n v="1600"/>
    <n v="35900"/>
    <m/>
    <n v="35900"/>
    <x v="1"/>
  </r>
  <r>
    <n v="202510"/>
    <n v="15"/>
    <x v="32"/>
    <m/>
    <n v="1"/>
    <m/>
    <m/>
    <m/>
    <n v="1000"/>
    <m/>
    <m/>
    <n v="6800"/>
    <m/>
    <n v="6800"/>
    <x v="32"/>
  </r>
  <r>
    <n v="202510"/>
    <n v="15"/>
    <x v="6"/>
    <m/>
    <n v="1"/>
    <m/>
    <m/>
    <m/>
    <n v="900"/>
    <m/>
    <m/>
    <n v="7000"/>
    <m/>
    <n v="7000"/>
    <x v="6"/>
  </r>
  <r>
    <n v="202510"/>
    <n v="15"/>
    <x v="11"/>
    <m/>
    <n v="2"/>
    <n v="12"/>
    <m/>
    <m/>
    <m/>
    <m/>
    <m/>
    <n v="16300"/>
    <m/>
    <n v="32600"/>
    <x v="11"/>
  </r>
  <r>
    <n v="202510"/>
    <n v="15"/>
    <x v="8"/>
    <m/>
    <n v="1"/>
    <m/>
    <m/>
    <n v="1"/>
    <m/>
    <m/>
    <m/>
    <n v="4400"/>
    <m/>
    <n v="4400"/>
    <x v="8"/>
  </r>
  <r>
    <n v="202510"/>
    <n v="15"/>
    <x v="51"/>
    <m/>
    <n v="1"/>
    <m/>
    <m/>
    <n v="1"/>
    <m/>
    <m/>
    <m/>
    <n v="3800"/>
    <m/>
    <n v="3800"/>
    <x v="51"/>
  </r>
  <r>
    <n v="202510"/>
    <n v="15"/>
    <x v="36"/>
    <m/>
    <n v="2"/>
    <m/>
    <m/>
    <m/>
    <n v="250"/>
    <m/>
    <m/>
    <n v="2200"/>
    <m/>
    <n v="4400"/>
    <x v="36"/>
  </r>
  <r>
    <n v="202510"/>
    <n v="15"/>
    <x v="34"/>
    <m/>
    <n v="1"/>
    <m/>
    <m/>
    <m/>
    <m/>
    <m/>
    <n v="900"/>
    <n v="13900"/>
    <m/>
    <n v="13900"/>
    <x v="34"/>
  </r>
  <r>
    <n v="202510"/>
    <n v="15"/>
    <x v="5"/>
    <m/>
    <n v="1"/>
    <m/>
    <m/>
    <m/>
    <n v="500"/>
    <m/>
    <m/>
    <n v="8400"/>
    <m/>
    <n v="84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FA586-EA2D-4742-806B-8E209EC29FE1}" name="TablaDiná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" rowHeaderCaption="X">
  <location ref="B16:C28" firstHeaderRow="1" firstDataRow="1" firstDataCol="1"/>
  <pivotFields count="15">
    <pivotField showAll="0"/>
    <pivotField showAll="0"/>
    <pivotField showAll="0">
      <items count="57">
        <item h="1" x="34"/>
        <item h="1" x="10"/>
        <item x="0"/>
        <item h="1" x="49"/>
        <item x="45"/>
        <item h="1" x="44"/>
        <item h="1" x="25"/>
        <item x="2"/>
        <item x="3"/>
        <item h="1" x="24"/>
        <item h="1" x="7"/>
        <item h="1" x="27"/>
        <item h="1" x="52"/>
        <item x="21"/>
        <item h="1" x="43"/>
        <item h="1" x="42"/>
        <item h="1" x="41"/>
        <item x="48"/>
        <item h="1" x="28"/>
        <item h="1" x="51"/>
        <item h="1" x="8"/>
        <item x="4"/>
        <item x="23"/>
        <item h="1" x="9"/>
        <item h="1" x="54"/>
        <item x="1"/>
        <item x="32"/>
        <item h="1" x="16"/>
        <item h="1" x="5"/>
        <item h="1" x="17"/>
        <item h="1" x="30"/>
        <item h="1" x="18"/>
        <item x="6"/>
        <item x="11"/>
        <item h="1" x="36"/>
        <item h="1" x="26"/>
        <item h="1" x="31"/>
        <item h="1" x="50"/>
        <item h="1" x="29"/>
        <item h="1" x="35"/>
        <item h="1" x="33"/>
        <item h="1" x="39"/>
        <item h="1" x="37"/>
        <item h="1" x="53"/>
        <item h="1" x="47"/>
        <item h="1" x="46"/>
        <item h="1" x="14"/>
        <item h="1" x="12"/>
        <item h="1" x="13"/>
        <item h="1" x="22"/>
        <item h="1" x="38"/>
        <item h="1" x="15"/>
        <item h="1" x="19"/>
        <item h="1" x="20"/>
        <item h="1" x="40"/>
        <item h="1" m="1"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6">
        <item x="34"/>
        <item x="10"/>
        <item x="0"/>
        <item x="49"/>
        <item x="45"/>
        <item x="44"/>
        <item x="25"/>
        <item x="2"/>
        <item x="3"/>
        <item x="24"/>
        <item x="7"/>
        <item x="27"/>
        <item x="52"/>
        <item x="21"/>
        <item x="43"/>
        <item x="42"/>
        <item x="41"/>
        <item x="48"/>
        <item x="28"/>
        <item x="51"/>
        <item x="8"/>
        <item x="4"/>
        <item x="23"/>
        <item x="9"/>
        <item x="54"/>
        <item x="1"/>
        <item x="32"/>
        <item x="16"/>
        <item x="5"/>
        <item x="17"/>
        <item x="30"/>
        <item x="18"/>
        <item x="6"/>
        <item x="11"/>
        <item x="36"/>
        <item x="26"/>
        <item x="31"/>
        <item x="50"/>
        <item x="29"/>
        <item x="35"/>
        <item x="33"/>
        <item x="39"/>
        <item x="37"/>
        <item x="53"/>
        <item x="47"/>
        <item x="46"/>
        <item x="14"/>
        <item x="12"/>
        <item x="13"/>
        <item x="22"/>
        <item x="38"/>
        <item x="15"/>
        <item x="19"/>
        <item x="20"/>
        <item x="40"/>
        <item t="default"/>
      </items>
    </pivotField>
  </pivotFields>
  <rowFields count="1">
    <field x="14"/>
  </rowFields>
  <rowItems count="12">
    <i>
      <x v="2"/>
    </i>
    <i>
      <x v="4"/>
    </i>
    <i>
      <x v="7"/>
    </i>
    <i>
      <x v="8"/>
    </i>
    <i>
      <x v="13"/>
    </i>
    <i>
      <x v="17"/>
    </i>
    <i>
      <x v="21"/>
    </i>
    <i>
      <x v="22"/>
    </i>
    <i>
      <x v="25"/>
    </i>
    <i>
      <x v="26"/>
    </i>
    <i>
      <x v="32"/>
    </i>
    <i>
      <x v="33"/>
    </i>
  </rowItems>
  <colItems count="1">
    <i/>
  </colItems>
  <dataFields count="1">
    <dataField name="Y" fld="13" subtotal="average" baseField="2" baseItem="3" numFmtId="164"/>
  </dataFields>
  <formats count="6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field="2" type="button" dataOnly="0" labelOnly="1" outline="0"/>
    </format>
    <format dxfId="3">
      <pivotArea dataOnly="0" labelOnly="1" outline="0" axis="axisValues" fieldPosition="0"/>
    </format>
    <format dxfId="2">
      <pivotArea field="2" type="button" dataOnly="0" labelOnly="1" outline="0"/>
    </format>
    <format dxfId="1">
      <pivotArea dataOnly="0" labelOnly="1" outline="0" axis="axisValues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118DF-213E-4C25-9FD4-FA6857A0AFD4}" name="TablaDiná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item">
  <location ref="B2:C14" firstHeaderRow="1" firstDataRow="1" firstDataCol="1"/>
  <pivotFields count="15">
    <pivotField showAll="0"/>
    <pivotField showAll="0"/>
    <pivotField axis="axisRow" showAll="0">
      <items count="57">
        <item h="1" x="34"/>
        <item h="1" x="10"/>
        <item x="0"/>
        <item h="1" x="49"/>
        <item x="45"/>
        <item h="1" x="44"/>
        <item h="1" x="25"/>
        <item x="2"/>
        <item x="3"/>
        <item h="1" x="24"/>
        <item h="1" x="7"/>
        <item h="1" x="27"/>
        <item h="1" x="52"/>
        <item x="21"/>
        <item h="1" x="43"/>
        <item h="1" x="42"/>
        <item h="1" x="41"/>
        <item x="48"/>
        <item h="1" x="28"/>
        <item h="1" x="51"/>
        <item h="1" x="8"/>
        <item x="4"/>
        <item x="23"/>
        <item h="1" x="9"/>
        <item h="1" x="54"/>
        <item x="1"/>
        <item x="32"/>
        <item h="1" x="16"/>
        <item h="1" x="5"/>
        <item h="1" x="17"/>
        <item h="1" x="30"/>
        <item h="1" x="18"/>
        <item x="6"/>
        <item x="11"/>
        <item h="1" x="36"/>
        <item h="1" x="26"/>
        <item h="1" x="31"/>
        <item h="1" x="50"/>
        <item h="1" x="29"/>
        <item h="1" x="35"/>
        <item h="1" x="33"/>
        <item h="1" x="39"/>
        <item h="1" x="37"/>
        <item h="1" x="53"/>
        <item h="1" x="47"/>
        <item h="1" x="46"/>
        <item h="1" x="14"/>
        <item h="1" x="12"/>
        <item h="1" x="13"/>
        <item h="1" x="22"/>
        <item h="1" x="38"/>
        <item h="1" x="15"/>
        <item h="1" x="19"/>
        <item h="1" x="20"/>
        <item h="1" x="40"/>
        <item h="1" m="1"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2">
    <i>
      <x v="2"/>
    </i>
    <i>
      <x v="4"/>
    </i>
    <i>
      <x v="7"/>
    </i>
    <i>
      <x v="8"/>
    </i>
    <i>
      <x v="13"/>
    </i>
    <i>
      <x v="17"/>
    </i>
    <i>
      <x v="21"/>
    </i>
    <i>
      <x v="22"/>
    </i>
    <i>
      <x v="25"/>
    </i>
    <i>
      <x v="26"/>
    </i>
    <i>
      <x v="32"/>
    </i>
    <i>
      <x v="33"/>
    </i>
  </rowItems>
  <colItems count="1">
    <i/>
  </colItems>
  <dataFields count="1">
    <dataField name="med_valor" fld="13" subtotal="average" baseField="2" baseItem="3" numFmtId="164"/>
  </dataFields>
  <formats count="4"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field="2" type="button" dataOnly="0" labelOnly="1" outline="0" axis="axisRow" fieldPosition="0"/>
    </format>
    <format dxfId="7">
      <pivotArea dataOnly="0" labelOnly="1" outline="0" axis="axisValues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tem" xr10:uid="{19F577D5-05DA-47F8-AD5D-D5287FD1AF5D}" sourceName="item">
  <pivotTables>
    <pivotTable tabId="4" name="TablaDinámica1"/>
    <pivotTable tabId="4" name="TablaDinámica2"/>
  </pivotTables>
  <data>
    <tabular pivotCacheId="232358257">
      <items count="56">
        <i x="34"/>
        <i x="10"/>
        <i x="0" s="1"/>
        <i x="49"/>
        <i x="45" s="1"/>
        <i x="44"/>
        <i x="25"/>
        <i x="2" s="1"/>
        <i x="3" s="1"/>
        <i x="24"/>
        <i x="7"/>
        <i x="27"/>
        <i x="52"/>
        <i x="21" s="1"/>
        <i x="43"/>
        <i x="42"/>
        <i x="41"/>
        <i x="48" s="1"/>
        <i x="28"/>
        <i x="51"/>
        <i x="8"/>
        <i x="4" s="1"/>
        <i x="23" s="1"/>
        <i x="9"/>
        <i x="54"/>
        <i x="1" s="1"/>
        <i x="32" s="1"/>
        <i x="16"/>
        <i x="5"/>
        <i x="17"/>
        <i x="30"/>
        <i x="18"/>
        <i x="6" s="1"/>
        <i x="11" s="1"/>
        <i x="36"/>
        <i x="26"/>
        <i x="31"/>
        <i x="50"/>
        <i x="29"/>
        <i x="35"/>
        <i x="33"/>
        <i x="39"/>
        <i x="37"/>
        <i x="53"/>
        <i x="47"/>
        <i x="46"/>
        <i x="14"/>
        <i x="12"/>
        <i x="13"/>
        <i x="22"/>
        <i x="38"/>
        <i x="15"/>
        <i x="19"/>
        <i x="20"/>
        <i x="40"/>
        <i x="5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" xr10:uid="{482DA28D-8B65-45CA-A207-50E83657C5B7}" cache="SegmentaciónDeDatos_item" caption="item" startItem="14" columnCount="2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74557C-645B-439B-932E-555E43D9ECB7}" name="Tabla2" displayName="Tabla2" ref="A1:N125" totalsRowShown="0" headerRowDxfId="31" dataDxfId="29" headerRowBorderDxfId="30" tableBorderDxfId="28">
  <autoFilter ref="A1:N125" xr:uid="{4A74557C-645B-439B-932E-555E43D9ECB7}"/>
  <tableColumns count="14">
    <tableColumn id="1" xr3:uid="{4A5FEDAF-0F91-4E5C-8A79-5BEC263DD31D}" name="periodo" dataDxfId="27"/>
    <tableColumn id="2" xr3:uid="{115E7E9C-DA57-44C7-9EE0-D6934895BBC4}" name="quincena" dataDxfId="26"/>
    <tableColumn id="3" xr3:uid="{46C7C5E4-E1E8-4533-A569-9C7D4E5013F6}" name="item" dataDxfId="25"/>
    <tableColumn id="4" xr3:uid="{77482D10-118E-405D-B025-6CBF008468C0}" name="detalle" dataDxfId="24"/>
    <tableColumn id="5" xr3:uid="{4375E12F-D27A-4B7A-9C11-05C3F0A905DF}" name="unidad" dataDxfId="23"/>
    <tableColumn id="6" xr3:uid="{8C66B1F0-8533-419B-BA97-02B437387DB1}" name="sub_unidades" dataDxfId="22"/>
    <tableColumn id="7" xr3:uid="{A006F1C6-7534-48E8-9E55-B34860F37020}" name="promocion" dataDxfId="21"/>
    <tableColumn id="8" xr3:uid="{A041FE6C-278E-499B-9873-97C0462A06FD}" name="peso_kg" dataDxfId="20"/>
    <tableColumn id="9" xr3:uid="{F4A46367-87C9-44BC-8F24-50645E556734}" name="peso_g" dataDxfId="19"/>
    <tableColumn id="10" xr3:uid="{49CF0086-DA7B-4980-9B7B-1B7CB4AB0721}" name="peso_l" dataDxfId="18"/>
    <tableColumn id="11" xr3:uid="{793C4790-1389-444C-B260-F53384888FA5}" name="peso_ml" dataDxfId="17"/>
    <tableColumn id="12" xr3:uid="{E756F794-AAD2-45DB-BE3A-1338B33A73D5}" name="valor_individual" dataDxfId="16"/>
    <tableColumn id="13" xr3:uid="{E3BC0A6E-B582-437F-9FC8-FE41552BCDE0}" name="valor_total" dataDxfId="15"/>
    <tableColumn id="14" xr3:uid="{F234DBD9-AC5E-487D-9C78-7E298B6FE35B}" name="vlr_ttl_coalesce" dataDxfId="14">
      <calculatedColumnFormula>+IF(Tabla2[[#This Row],[valor_total]]="",Tabla2[[#This Row],[valor_individual]]*Tabla2[[#This Row],[unidad]],Tabla2[[#This Row],[valor_total]])</calculatedColumnFormula>
    </tableColumn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F2976-9C4F-45B6-A7B5-22C30F618AB5}" name="Tabla1" displayName="Tabla1" ref="A1:B56" totalsRowShown="0" headerRowDxfId="13" headerRowBorderDxfId="12" tableBorderDxfId="11">
  <autoFilter ref="A1:B56" xr:uid="{213F2976-9C4F-45B6-A7B5-22C30F618AB5}"/>
  <sortState xmlns:xlrd2="http://schemas.microsoft.com/office/spreadsheetml/2017/richdata2" ref="A2:B56">
    <sortCondition ref="B1:B56"/>
  </sortState>
  <tableColumns count="2">
    <tableColumn id="2" xr3:uid="{F1AFB608-CC39-4A4E-ABF8-6EFBCF187BB5}" name="id"/>
    <tableColumn id="1" xr3:uid="{9CF94774-72E7-4F1A-9E58-8C7F0C7445E4}" name="Ite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showGridLines="0" tabSelected="1" zoomScale="90" zoomScaleNormal="90" workbookViewId="0">
      <pane ySplit="1" topLeftCell="A98" activePane="bottomLeft" state="frozen"/>
      <selection pane="bottomLeft" activeCell="D128" sqref="D128"/>
    </sheetView>
  </sheetViews>
  <sheetFormatPr baseColWidth="10" defaultColWidth="9.140625" defaultRowHeight="15" x14ac:dyDescent="0.25"/>
  <cols>
    <col min="1" max="1" width="13" bestFit="1" customWidth="1"/>
    <col min="2" max="2" width="14" bestFit="1" customWidth="1"/>
    <col min="3" max="3" width="20.7109375" bestFit="1" customWidth="1"/>
    <col min="4" max="4" width="12.140625" bestFit="1" customWidth="1"/>
    <col min="5" max="5" width="12" bestFit="1" customWidth="1"/>
    <col min="6" max="6" width="17.85546875" bestFit="1" customWidth="1"/>
    <col min="7" max="7" width="15.5703125" bestFit="1" customWidth="1"/>
    <col min="8" max="8" width="13.140625" bestFit="1" customWidth="1"/>
    <col min="9" max="9" width="12.140625" bestFit="1" customWidth="1"/>
    <col min="10" max="10" width="11.7109375" bestFit="1" customWidth="1"/>
    <col min="11" max="11" width="13.42578125" bestFit="1" customWidth="1"/>
    <col min="12" max="12" width="19.85546875" bestFit="1" customWidth="1"/>
    <col min="13" max="13" width="15.5703125" bestFit="1" customWidth="1"/>
    <col min="14" max="14" width="19.5703125" bestFit="1" customWidth="1"/>
  </cols>
  <sheetData>
    <row r="1" spans="1:14" ht="15.75" thickBot="1" x14ac:dyDescent="0.3">
      <c r="A1" s="2" t="s">
        <v>7</v>
      </c>
      <c r="B1" s="2" t="s">
        <v>60</v>
      </c>
      <c r="C1" s="2" t="s">
        <v>0</v>
      </c>
      <c r="D1" s="2" t="s">
        <v>40</v>
      </c>
      <c r="E1" s="2" t="s">
        <v>5</v>
      </c>
      <c r="F1" s="2" t="s">
        <v>6</v>
      </c>
      <c r="G1" s="2" t="s">
        <v>8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15</v>
      </c>
      <c r="M1" s="2" t="s">
        <v>16</v>
      </c>
      <c r="N1" s="2" t="s">
        <v>72</v>
      </c>
    </row>
    <row r="2" spans="1:14" x14ac:dyDescent="0.25">
      <c r="A2" s="3">
        <v>202504</v>
      </c>
      <c r="B2" s="3">
        <v>1</v>
      </c>
      <c r="C2" s="3" t="s">
        <v>13</v>
      </c>
      <c r="D2" s="3"/>
      <c r="E2" s="3">
        <v>1</v>
      </c>
      <c r="F2" s="3"/>
      <c r="G2" s="3"/>
      <c r="H2" s="3">
        <v>10</v>
      </c>
      <c r="I2" s="3"/>
      <c r="J2" s="3"/>
      <c r="K2" s="3"/>
      <c r="L2" s="3">
        <v>22000</v>
      </c>
      <c r="M2" s="3"/>
      <c r="N2" s="3">
        <f>+IF(Tabla2[[#This Row],[valor_total]]="",Tabla2[[#This Row],[valor_individual]]*Tabla2[[#This Row],[unidad]],Tabla2[[#This Row],[valor_total]])</f>
        <v>22000</v>
      </c>
    </row>
    <row r="3" spans="1:14" x14ac:dyDescent="0.25">
      <c r="A3" s="3">
        <v>202504</v>
      </c>
      <c r="B3" s="3">
        <v>1</v>
      </c>
      <c r="C3" s="3" t="s">
        <v>9</v>
      </c>
      <c r="D3" s="3"/>
      <c r="E3" s="3">
        <v>1</v>
      </c>
      <c r="F3" s="3">
        <v>6</v>
      </c>
      <c r="G3" s="3"/>
      <c r="H3" s="3"/>
      <c r="I3" s="3"/>
      <c r="J3" s="3"/>
      <c r="K3" s="3"/>
      <c r="L3" s="3"/>
      <c r="M3" s="3">
        <v>36900</v>
      </c>
      <c r="N3" s="3">
        <f>+IF(Tabla2[[#This Row],[valor_total]]="",Tabla2[[#This Row],[valor_individual]]*Tabla2[[#This Row],[unidad]],Tabla2[[#This Row],[valor_total]])</f>
        <v>36900</v>
      </c>
    </row>
    <row r="4" spans="1:14" x14ac:dyDescent="0.25">
      <c r="A4" s="3">
        <v>202504</v>
      </c>
      <c r="B4" s="3">
        <v>1</v>
      </c>
      <c r="C4" s="3" t="s">
        <v>18</v>
      </c>
      <c r="D4" s="3"/>
      <c r="E4" s="3">
        <v>1</v>
      </c>
      <c r="F4" s="3"/>
      <c r="G4" s="3"/>
      <c r="H4" s="3"/>
      <c r="I4" s="3">
        <v>85</v>
      </c>
      <c r="J4" s="3"/>
      <c r="K4" s="3"/>
      <c r="L4" s="3">
        <v>13300</v>
      </c>
      <c r="M4" s="3"/>
      <c r="N4" s="3">
        <f>+IF(Tabla2[[#This Row],[valor_total]]="",Tabla2[[#This Row],[valor_individual]]*Tabla2[[#This Row],[unidad]],Tabla2[[#This Row],[valor_total]])</f>
        <v>13300</v>
      </c>
    </row>
    <row r="5" spans="1:14" x14ac:dyDescent="0.25">
      <c r="A5" s="3">
        <v>202504</v>
      </c>
      <c r="B5" s="3">
        <v>1</v>
      </c>
      <c r="C5" s="3" t="s">
        <v>17</v>
      </c>
      <c r="D5" s="3"/>
      <c r="E5" s="3">
        <v>1</v>
      </c>
      <c r="F5" s="3"/>
      <c r="G5" s="3"/>
      <c r="H5" s="3"/>
      <c r="I5" s="3">
        <v>425</v>
      </c>
      <c r="J5" s="3"/>
      <c r="K5" s="3"/>
      <c r="L5" s="3">
        <v>19400</v>
      </c>
      <c r="M5" s="3"/>
      <c r="N5" s="3">
        <f>+IF(Tabla2[[#This Row],[valor_total]]="",Tabla2[[#This Row],[valor_individual]]*Tabla2[[#This Row],[unidad]],Tabla2[[#This Row],[valor_total]])</f>
        <v>19400</v>
      </c>
    </row>
    <row r="6" spans="1:14" x14ac:dyDescent="0.25">
      <c r="A6" s="3">
        <v>202504</v>
      </c>
      <c r="B6" s="3">
        <v>1</v>
      </c>
      <c r="C6" s="3" t="s">
        <v>10</v>
      </c>
      <c r="D6" s="3"/>
      <c r="E6" s="3">
        <v>3</v>
      </c>
      <c r="F6" s="3">
        <v>30</v>
      </c>
      <c r="G6" s="3"/>
      <c r="H6" s="3"/>
      <c r="I6" s="3"/>
      <c r="J6" s="3"/>
      <c r="K6" s="3"/>
      <c r="L6" s="3">
        <v>28800</v>
      </c>
      <c r="M6" s="3"/>
      <c r="N6" s="3">
        <f>+IF(Tabla2[[#This Row],[valor_total]]="",Tabla2[[#This Row],[valor_individual]]*Tabla2[[#This Row],[unidad]],Tabla2[[#This Row],[valor_total]])</f>
        <v>86400</v>
      </c>
    </row>
    <row r="7" spans="1:14" x14ac:dyDescent="0.25">
      <c r="A7" s="3">
        <v>202504</v>
      </c>
      <c r="B7" s="3">
        <v>1</v>
      </c>
      <c r="C7" s="3" t="s">
        <v>11</v>
      </c>
      <c r="D7" s="3"/>
      <c r="E7" s="3">
        <v>2</v>
      </c>
      <c r="F7" s="3"/>
      <c r="G7" s="3"/>
      <c r="H7" s="3"/>
      <c r="I7" s="3">
        <v>500</v>
      </c>
      <c r="J7" s="3"/>
      <c r="K7" s="3"/>
      <c r="L7" s="3">
        <v>7800</v>
      </c>
      <c r="M7" s="3">
        <v>15600</v>
      </c>
      <c r="N7" s="3">
        <f>+IF(Tabla2[[#This Row],[valor_total]]="",Tabla2[[#This Row],[valor_individual]]*Tabla2[[#This Row],[unidad]],Tabla2[[#This Row],[valor_total]])</f>
        <v>15600</v>
      </c>
    </row>
    <row r="8" spans="1:14" x14ac:dyDescent="0.25">
      <c r="A8" s="3">
        <v>202504</v>
      </c>
      <c r="B8" s="3">
        <v>1</v>
      </c>
      <c r="C8" s="3" t="s">
        <v>19</v>
      </c>
      <c r="D8" s="3"/>
      <c r="E8" s="3">
        <v>3</v>
      </c>
      <c r="F8" s="3"/>
      <c r="G8" s="3"/>
      <c r="H8" s="3"/>
      <c r="I8" s="3">
        <v>300</v>
      </c>
      <c r="J8" s="3"/>
      <c r="K8" s="3"/>
      <c r="L8" s="3">
        <v>2634</v>
      </c>
      <c r="M8" s="3">
        <v>7900</v>
      </c>
      <c r="N8" s="3">
        <f>+IF(Tabla2[[#This Row],[valor_total]]="",Tabla2[[#This Row],[valor_individual]]*Tabla2[[#This Row],[unidad]],Tabla2[[#This Row],[valor_total]])</f>
        <v>7900</v>
      </c>
    </row>
    <row r="9" spans="1:14" x14ac:dyDescent="0.25">
      <c r="A9" s="3">
        <v>202504</v>
      </c>
      <c r="B9" s="3">
        <v>1</v>
      </c>
      <c r="C9" s="3" t="s">
        <v>20</v>
      </c>
      <c r="D9" s="3"/>
      <c r="E9" s="3">
        <v>4</v>
      </c>
      <c r="F9" s="3"/>
      <c r="G9" s="3"/>
      <c r="H9" s="3"/>
      <c r="I9" s="3"/>
      <c r="J9" s="3"/>
      <c r="K9" s="3"/>
      <c r="L9" s="3">
        <v>3850</v>
      </c>
      <c r="M9" s="3"/>
      <c r="N9" s="3">
        <f>+IF(Tabla2[[#This Row],[valor_total]]="",Tabla2[[#This Row],[valor_individual]]*Tabla2[[#This Row],[unidad]],Tabla2[[#This Row],[valor_total]])</f>
        <v>15400</v>
      </c>
    </row>
    <row r="10" spans="1:14" x14ac:dyDescent="0.25">
      <c r="A10" s="3">
        <v>202504</v>
      </c>
      <c r="B10" s="3">
        <v>1</v>
      </c>
      <c r="C10" s="3" t="s">
        <v>21</v>
      </c>
      <c r="D10" s="3"/>
      <c r="E10" s="3">
        <v>2</v>
      </c>
      <c r="F10" s="3"/>
      <c r="G10" s="3"/>
      <c r="H10" s="3">
        <v>1</v>
      </c>
      <c r="I10" s="3"/>
      <c r="J10" s="3"/>
      <c r="K10" s="3"/>
      <c r="L10" s="3">
        <v>4200</v>
      </c>
      <c r="M10" s="3"/>
      <c r="N10" s="3">
        <f>+IF(Tabla2[[#This Row],[valor_total]]="",Tabla2[[#This Row],[valor_individual]]*Tabla2[[#This Row],[unidad]],Tabla2[[#This Row],[valor_total]])</f>
        <v>8400</v>
      </c>
    </row>
    <row r="11" spans="1:14" x14ac:dyDescent="0.25">
      <c r="A11" s="3">
        <v>202504</v>
      </c>
      <c r="B11" s="3">
        <v>1</v>
      </c>
      <c r="C11" s="3" t="s">
        <v>22</v>
      </c>
      <c r="D11" s="3"/>
      <c r="E11" s="3">
        <v>1</v>
      </c>
      <c r="F11" s="3"/>
      <c r="G11" s="3"/>
      <c r="H11" s="3"/>
      <c r="I11" s="3"/>
      <c r="J11" s="3">
        <v>1.5</v>
      </c>
      <c r="K11" s="3"/>
      <c r="L11" s="3">
        <v>17100</v>
      </c>
      <c r="M11" s="3"/>
      <c r="N11" s="3">
        <f>+IF(Tabla2[[#This Row],[valor_total]]="",Tabla2[[#This Row],[valor_individual]]*Tabla2[[#This Row],[unidad]],Tabla2[[#This Row],[valor_total]])</f>
        <v>17100</v>
      </c>
    </row>
    <row r="12" spans="1:14" x14ac:dyDescent="0.25">
      <c r="A12" s="3">
        <v>202504</v>
      </c>
      <c r="B12" s="3">
        <v>1</v>
      </c>
      <c r="C12" s="3" t="s">
        <v>23</v>
      </c>
      <c r="D12" s="3"/>
      <c r="E12" s="3">
        <v>1</v>
      </c>
      <c r="F12" s="3"/>
      <c r="G12" s="3"/>
      <c r="H12" s="3"/>
      <c r="I12" s="3"/>
      <c r="J12" s="3">
        <v>1</v>
      </c>
      <c r="K12" s="3"/>
      <c r="L12" s="3">
        <v>11200</v>
      </c>
      <c r="M12" s="3"/>
      <c r="N12" s="3">
        <f>+IF(Tabla2[[#This Row],[valor_total]]="",Tabla2[[#This Row],[valor_individual]]*Tabla2[[#This Row],[unidad]],Tabla2[[#This Row],[valor_total]])</f>
        <v>11200</v>
      </c>
    </row>
    <row r="13" spans="1:14" x14ac:dyDescent="0.25">
      <c r="A13" s="3">
        <v>202504</v>
      </c>
      <c r="B13" s="3">
        <v>1</v>
      </c>
      <c r="C13" s="3" t="s">
        <v>24</v>
      </c>
      <c r="D13" s="3"/>
      <c r="E13" s="3">
        <v>2</v>
      </c>
      <c r="F13" s="3">
        <v>12</v>
      </c>
      <c r="G13" s="3"/>
      <c r="H13" s="3"/>
      <c r="I13" s="3"/>
      <c r="J13" s="3"/>
      <c r="K13" s="3"/>
      <c r="L13" s="3">
        <v>15100</v>
      </c>
      <c r="M13" s="3"/>
      <c r="N13" s="3">
        <f>+IF(Tabla2[[#This Row],[valor_total]]="",Tabla2[[#This Row],[valor_individual]]*Tabla2[[#This Row],[unidad]],Tabla2[[#This Row],[valor_total]])</f>
        <v>30200</v>
      </c>
    </row>
    <row r="14" spans="1:14" x14ac:dyDescent="0.25">
      <c r="A14" s="3">
        <v>202504</v>
      </c>
      <c r="B14" s="3">
        <v>1</v>
      </c>
      <c r="C14" s="3" t="s">
        <v>25</v>
      </c>
      <c r="D14" s="3"/>
      <c r="E14" s="3">
        <v>1</v>
      </c>
      <c r="F14" s="3"/>
      <c r="G14" s="3"/>
      <c r="H14" s="3"/>
      <c r="I14" s="3"/>
      <c r="J14" s="3"/>
      <c r="K14" s="3">
        <v>200</v>
      </c>
      <c r="L14" s="3">
        <v>7000</v>
      </c>
      <c r="M14" s="3"/>
      <c r="N14" s="3">
        <f>+IF(Tabla2[[#This Row],[valor_total]]="",Tabla2[[#This Row],[valor_individual]]*Tabla2[[#This Row],[unidad]],Tabla2[[#This Row],[valor_total]])</f>
        <v>7000</v>
      </c>
    </row>
    <row r="15" spans="1:14" x14ac:dyDescent="0.25">
      <c r="A15" s="3">
        <v>202504</v>
      </c>
      <c r="B15" s="3">
        <v>1</v>
      </c>
      <c r="C15" s="3" t="s">
        <v>26</v>
      </c>
      <c r="D15" s="3"/>
      <c r="E15" s="3">
        <v>1</v>
      </c>
      <c r="F15" s="3"/>
      <c r="G15" s="3"/>
      <c r="H15" s="3"/>
      <c r="I15" s="3">
        <v>200</v>
      </c>
      <c r="J15" s="3"/>
      <c r="K15" s="3"/>
      <c r="L15" s="3">
        <v>6100</v>
      </c>
      <c r="M15" s="3"/>
      <c r="N15" s="3">
        <f>+IF(Tabla2[[#This Row],[valor_total]]="",Tabla2[[#This Row],[valor_individual]]*Tabla2[[#This Row],[unidad]],Tabla2[[#This Row],[valor_total]])</f>
        <v>6100</v>
      </c>
    </row>
    <row r="16" spans="1:14" x14ac:dyDescent="0.25">
      <c r="A16" s="3">
        <v>202504</v>
      </c>
      <c r="B16" s="3">
        <v>1</v>
      </c>
      <c r="C16" s="3" t="s">
        <v>27</v>
      </c>
      <c r="D16" s="3"/>
      <c r="E16" s="3">
        <v>1</v>
      </c>
      <c r="F16" s="3"/>
      <c r="G16" s="3"/>
      <c r="H16" s="3"/>
      <c r="I16" s="3">
        <v>200</v>
      </c>
      <c r="J16" s="3"/>
      <c r="K16" s="3"/>
      <c r="L16" s="3">
        <v>6100</v>
      </c>
      <c r="M16" s="3"/>
      <c r="N16" s="3">
        <f>+IF(Tabla2[[#This Row],[valor_total]]="",Tabla2[[#This Row],[valor_individual]]*Tabla2[[#This Row],[unidad]],Tabla2[[#This Row],[valor_total]])</f>
        <v>6100</v>
      </c>
    </row>
    <row r="17" spans="1:14" x14ac:dyDescent="0.25">
      <c r="A17" s="3">
        <v>202504</v>
      </c>
      <c r="B17" s="3">
        <v>1</v>
      </c>
      <c r="C17" s="3" t="s">
        <v>28</v>
      </c>
      <c r="D17" s="3"/>
      <c r="E17" s="3">
        <v>1</v>
      </c>
      <c r="F17" s="3"/>
      <c r="G17" s="3"/>
      <c r="H17" s="3"/>
      <c r="I17" s="3">
        <v>142</v>
      </c>
      <c r="J17" s="3"/>
      <c r="K17" s="3"/>
      <c r="L17" s="3">
        <v>14000</v>
      </c>
      <c r="M17" s="3"/>
      <c r="N17" s="3">
        <f>+IF(Tabla2[[#This Row],[valor_total]]="",Tabla2[[#This Row],[valor_individual]]*Tabla2[[#This Row],[unidad]],Tabla2[[#This Row],[valor_total]])</f>
        <v>14000</v>
      </c>
    </row>
    <row r="18" spans="1:14" x14ac:dyDescent="0.25">
      <c r="A18" s="3">
        <v>202504</v>
      </c>
      <c r="B18" s="3">
        <v>1</v>
      </c>
      <c r="C18" s="3" t="s">
        <v>29</v>
      </c>
      <c r="D18" s="3"/>
      <c r="E18" s="3">
        <v>2</v>
      </c>
      <c r="F18" s="3"/>
      <c r="G18" s="3"/>
      <c r="H18" s="3"/>
      <c r="I18" s="3">
        <v>190</v>
      </c>
      <c r="J18" s="3"/>
      <c r="K18" s="3"/>
      <c r="L18" s="3">
        <v>9800</v>
      </c>
      <c r="M18" s="3"/>
      <c r="N18" s="3">
        <f>+IF(Tabla2[[#This Row],[valor_total]]="",Tabla2[[#This Row],[valor_individual]]*Tabla2[[#This Row],[unidad]],Tabla2[[#This Row],[valor_total]])</f>
        <v>19600</v>
      </c>
    </row>
    <row r="19" spans="1:14" x14ac:dyDescent="0.25">
      <c r="A19" s="3">
        <v>202504</v>
      </c>
      <c r="B19" s="3">
        <v>1</v>
      </c>
      <c r="C19" s="3" t="s">
        <v>30</v>
      </c>
      <c r="D19" s="3"/>
      <c r="E19" s="3">
        <v>1</v>
      </c>
      <c r="F19" s="3"/>
      <c r="G19" s="3"/>
      <c r="H19" s="3"/>
      <c r="I19" s="3">
        <v>310</v>
      </c>
      <c r="J19" s="3"/>
      <c r="K19" s="3"/>
      <c r="L19" s="3">
        <v>4800</v>
      </c>
      <c r="M19" s="3"/>
      <c r="N19" s="3">
        <f>+IF(Tabla2[[#This Row],[valor_total]]="",Tabla2[[#This Row],[valor_individual]]*Tabla2[[#This Row],[unidad]],Tabla2[[#This Row],[valor_total]])</f>
        <v>4800</v>
      </c>
    </row>
    <row r="20" spans="1:14" x14ac:dyDescent="0.25">
      <c r="A20" s="3">
        <v>202504</v>
      </c>
      <c r="B20" s="3">
        <v>1</v>
      </c>
      <c r="C20" s="3" t="s">
        <v>31</v>
      </c>
      <c r="D20" s="3"/>
      <c r="E20" s="3">
        <v>1</v>
      </c>
      <c r="F20" s="3"/>
      <c r="G20" s="3"/>
      <c r="H20" s="3"/>
      <c r="I20" s="3">
        <v>550</v>
      </c>
      <c r="J20" s="3"/>
      <c r="K20" s="3"/>
      <c r="L20" s="3">
        <v>6000</v>
      </c>
      <c r="M20" s="3"/>
      <c r="N20" s="3">
        <f>+IF(Tabla2[[#This Row],[valor_total]]="",Tabla2[[#This Row],[valor_individual]]*Tabla2[[#This Row],[unidad]],Tabla2[[#This Row],[valor_total]])</f>
        <v>6000</v>
      </c>
    </row>
    <row r="21" spans="1:14" x14ac:dyDescent="0.25">
      <c r="A21" s="3">
        <v>202504</v>
      </c>
      <c r="B21" s="3">
        <v>1</v>
      </c>
      <c r="C21" s="3" t="s">
        <v>32</v>
      </c>
      <c r="D21" s="3"/>
      <c r="E21" s="3">
        <v>2</v>
      </c>
      <c r="F21" s="3">
        <v>7</v>
      </c>
      <c r="G21" s="3"/>
      <c r="H21" s="3"/>
      <c r="I21" s="3"/>
      <c r="J21" s="3"/>
      <c r="K21" s="3"/>
      <c r="L21" s="3">
        <v>4800</v>
      </c>
      <c r="M21" s="3"/>
      <c r="N21" s="3">
        <f>+IF(Tabla2[[#This Row],[valor_total]]="",Tabla2[[#This Row],[valor_individual]]*Tabla2[[#This Row],[unidad]],Tabla2[[#This Row],[valor_total]])</f>
        <v>9600</v>
      </c>
    </row>
    <row r="22" spans="1:14" x14ac:dyDescent="0.25">
      <c r="A22" s="3">
        <v>202504</v>
      </c>
      <c r="B22" s="3">
        <v>1</v>
      </c>
      <c r="C22" s="3" t="s">
        <v>33</v>
      </c>
      <c r="D22" s="3"/>
      <c r="E22" s="3">
        <v>2</v>
      </c>
      <c r="F22" s="3">
        <v>8</v>
      </c>
      <c r="G22" s="3"/>
      <c r="H22" s="3"/>
      <c r="I22" s="3"/>
      <c r="J22" s="3"/>
      <c r="K22" s="3"/>
      <c r="L22" s="3">
        <v>11500</v>
      </c>
      <c r="M22" s="3"/>
      <c r="N22" s="3">
        <f>+IF(Tabla2[[#This Row],[valor_total]]="",Tabla2[[#This Row],[valor_individual]]*Tabla2[[#This Row],[unidad]],Tabla2[[#This Row],[valor_total]])</f>
        <v>23000</v>
      </c>
    </row>
    <row r="23" spans="1:14" x14ac:dyDescent="0.25">
      <c r="A23" s="3">
        <v>202504</v>
      </c>
      <c r="B23" s="3">
        <v>15</v>
      </c>
      <c r="C23" s="3" t="s">
        <v>9</v>
      </c>
      <c r="D23" s="3"/>
      <c r="E23" s="3">
        <v>1</v>
      </c>
      <c r="F23" s="3">
        <v>6</v>
      </c>
      <c r="G23" s="3"/>
      <c r="H23" s="3"/>
      <c r="I23" s="3"/>
      <c r="J23" s="3"/>
      <c r="K23" s="3"/>
      <c r="L23" s="3"/>
      <c r="M23" s="3">
        <v>36900</v>
      </c>
      <c r="N23" s="3">
        <f>+IF(Tabla2[[#This Row],[valor_total]]="",Tabla2[[#This Row],[valor_individual]]*Tabla2[[#This Row],[unidad]],Tabla2[[#This Row],[valor_total]])</f>
        <v>36900</v>
      </c>
    </row>
    <row r="24" spans="1:14" x14ac:dyDescent="0.25">
      <c r="A24" s="3">
        <v>202504</v>
      </c>
      <c r="B24" s="3">
        <v>15</v>
      </c>
      <c r="C24" s="3" t="s">
        <v>10</v>
      </c>
      <c r="D24" s="3"/>
      <c r="E24" s="3">
        <v>3</v>
      </c>
      <c r="F24" s="3">
        <v>30</v>
      </c>
      <c r="G24" s="3"/>
      <c r="H24" s="3"/>
      <c r="I24" s="3"/>
      <c r="J24" s="3"/>
      <c r="K24" s="3"/>
      <c r="L24" s="3">
        <v>14600</v>
      </c>
      <c r="M24" s="3"/>
      <c r="N24" s="3">
        <f>+IF(Tabla2[[#This Row],[valor_total]]="",Tabla2[[#This Row],[valor_individual]]*Tabla2[[#This Row],[unidad]],Tabla2[[#This Row],[valor_total]])</f>
        <v>43800</v>
      </c>
    </row>
    <row r="25" spans="1:14" x14ac:dyDescent="0.25">
      <c r="A25" s="3">
        <v>202504</v>
      </c>
      <c r="B25" s="3">
        <v>15</v>
      </c>
      <c r="C25" s="3" t="s">
        <v>21</v>
      </c>
      <c r="D25" s="3" t="s">
        <v>61</v>
      </c>
      <c r="E25" s="3">
        <v>1</v>
      </c>
      <c r="F25" s="3"/>
      <c r="G25" s="3"/>
      <c r="H25" s="3">
        <v>1</v>
      </c>
      <c r="I25" s="3"/>
      <c r="J25" s="3"/>
      <c r="K25" s="3"/>
      <c r="L25" s="3">
        <v>3800</v>
      </c>
      <c r="M25" s="3"/>
      <c r="N25" s="3">
        <f>+IF(Tabla2[[#This Row],[valor_total]]="",Tabla2[[#This Row],[valor_individual]]*Tabla2[[#This Row],[unidad]],Tabla2[[#This Row],[valor_total]])</f>
        <v>3800</v>
      </c>
    </row>
    <row r="26" spans="1:14" x14ac:dyDescent="0.25">
      <c r="A26" s="3">
        <v>202504</v>
      </c>
      <c r="B26" s="3">
        <v>15</v>
      </c>
      <c r="C26" s="3" t="s">
        <v>35</v>
      </c>
      <c r="D26" s="3"/>
      <c r="E26" s="3">
        <v>1</v>
      </c>
      <c r="F26" s="3"/>
      <c r="G26" s="3"/>
      <c r="H26" s="3"/>
      <c r="I26" s="3">
        <v>500</v>
      </c>
      <c r="J26" s="3"/>
      <c r="K26" s="3"/>
      <c r="L26" s="3">
        <v>6000</v>
      </c>
      <c r="M26" s="3"/>
      <c r="N26" s="3">
        <f>+IF(Tabla2[[#This Row],[valor_total]]="",Tabla2[[#This Row],[valor_individual]]*Tabla2[[#This Row],[unidad]],Tabla2[[#This Row],[valor_total]])</f>
        <v>6000</v>
      </c>
    </row>
    <row r="27" spans="1:14" x14ac:dyDescent="0.25">
      <c r="A27" s="3">
        <v>202504</v>
      </c>
      <c r="B27" s="3">
        <v>15</v>
      </c>
      <c r="C27" s="3" t="s">
        <v>36</v>
      </c>
      <c r="D27" s="3"/>
      <c r="E27" s="3">
        <v>1</v>
      </c>
      <c r="F27" s="3"/>
      <c r="G27" s="3"/>
      <c r="H27" s="3"/>
      <c r="I27" s="3"/>
      <c r="J27" s="3"/>
      <c r="K27" s="3"/>
      <c r="L27" s="3">
        <v>6700</v>
      </c>
      <c r="M27" s="3"/>
      <c r="N27" s="3">
        <f>+IF(Tabla2[[#This Row],[valor_total]]="",Tabla2[[#This Row],[valor_individual]]*Tabla2[[#This Row],[unidad]],Tabla2[[#This Row],[valor_total]])</f>
        <v>6700</v>
      </c>
    </row>
    <row r="28" spans="1:14" x14ac:dyDescent="0.25">
      <c r="A28" s="3">
        <v>202504</v>
      </c>
      <c r="B28" s="3">
        <v>15</v>
      </c>
      <c r="C28" s="3" t="s">
        <v>37</v>
      </c>
      <c r="D28" s="3"/>
      <c r="E28" s="3">
        <v>1</v>
      </c>
      <c r="F28" s="3"/>
      <c r="G28" s="3"/>
      <c r="H28" s="3">
        <v>3.5</v>
      </c>
      <c r="I28" s="3"/>
      <c r="J28" s="3"/>
      <c r="K28" s="3"/>
      <c r="L28" s="3">
        <v>37800</v>
      </c>
      <c r="M28" s="3"/>
      <c r="N28" s="3">
        <f>+IF(Tabla2[[#This Row],[valor_total]]="",Tabla2[[#This Row],[valor_individual]]*Tabla2[[#This Row],[unidad]],Tabla2[[#This Row],[valor_total]])</f>
        <v>37800</v>
      </c>
    </row>
    <row r="29" spans="1:14" x14ac:dyDescent="0.25">
      <c r="A29" s="3">
        <v>202504</v>
      </c>
      <c r="B29" s="3">
        <v>15</v>
      </c>
      <c r="C29" s="3" t="s">
        <v>22</v>
      </c>
      <c r="D29" s="3"/>
      <c r="E29" s="3">
        <v>2</v>
      </c>
      <c r="F29" s="3"/>
      <c r="G29" s="3"/>
      <c r="H29" s="3"/>
      <c r="I29" s="3">
        <v>450</v>
      </c>
      <c r="J29" s="3"/>
      <c r="K29" s="3"/>
      <c r="L29" s="3">
        <v>17100</v>
      </c>
      <c r="M29" s="3"/>
      <c r="N29" s="3">
        <f>+IF(Tabla2[[#This Row],[valor_total]]="",Tabla2[[#This Row],[valor_individual]]*Tabla2[[#This Row],[unidad]],Tabla2[[#This Row],[valor_total]])</f>
        <v>34200</v>
      </c>
    </row>
    <row r="30" spans="1:14" x14ac:dyDescent="0.25">
      <c r="A30" s="3">
        <v>202504</v>
      </c>
      <c r="B30" s="3">
        <v>15</v>
      </c>
      <c r="C30" s="3" t="s">
        <v>23</v>
      </c>
      <c r="D30" s="3"/>
      <c r="E30" s="3">
        <v>1</v>
      </c>
      <c r="F30" s="3"/>
      <c r="G30" s="3"/>
      <c r="H30" s="3"/>
      <c r="I30" s="3"/>
      <c r="J30" s="3">
        <v>1</v>
      </c>
      <c r="K30" s="3"/>
      <c r="L30" s="3">
        <v>11200</v>
      </c>
      <c r="M30" s="3"/>
      <c r="N30" s="3">
        <f>+IF(Tabla2[[#This Row],[valor_total]]="",Tabla2[[#This Row],[valor_individual]]*Tabla2[[#This Row],[unidad]],Tabla2[[#This Row],[valor_total]])</f>
        <v>11200</v>
      </c>
    </row>
    <row r="31" spans="1:14" x14ac:dyDescent="0.25">
      <c r="A31" s="3">
        <v>202504</v>
      </c>
      <c r="B31" s="3">
        <v>15</v>
      </c>
      <c r="C31" s="3" t="s">
        <v>38</v>
      </c>
      <c r="D31" s="3"/>
      <c r="E31" s="3">
        <v>1</v>
      </c>
      <c r="F31" s="3"/>
      <c r="G31" s="3"/>
      <c r="H31" s="3"/>
      <c r="I31" s="3"/>
      <c r="J31" s="3">
        <v>3.8</v>
      </c>
      <c r="K31" s="3"/>
      <c r="L31" s="3">
        <v>16200</v>
      </c>
      <c r="M31" s="3"/>
      <c r="N31" s="3">
        <f>+IF(Tabla2[[#This Row],[valor_total]]="",Tabla2[[#This Row],[valor_individual]]*Tabla2[[#This Row],[unidad]],Tabla2[[#This Row],[valor_total]])</f>
        <v>16200</v>
      </c>
    </row>
    <row r="32" spans="1:14" x14ac:dyDescent="0.25">
      <c r="A32" s="3">
        <v>202504</v>
      </c>
      <c r="B32" s="3">
        <v>15</v>
      </c>
      <c r="C32" s="3" t="s">
        <v>39</v>
      </c>
      <c r="D32" s="3" t="s">
        <v>62</v>
      </c>
      <c r="E32" s="3">
        <v>1</v>
      </c>
      <c r="F32" s="3">
        <v>10</v>
      </c>
      <c r="G32" s="3"/>
      <c r="H32" s="3"/>
      <c r="I32" s="3"/>
      <c r="J32" s="3"/>
      <c r="K32" s="3"/>
      <c r="L32" s="3">
        <v>2200</v>
      </c>
      <c r="M32" s="3"/>
      <c r="N32" s="3">
        <f>+IF(Tabla2[[#This Row],[valor_total]]="",Tabla2[[#This Row],[valor_individual]]*Tabla2[[#This Row],[unidad]],Tabla2[[#This Row],[valor_total]])</f>
        <v>2200</v>
      </c>
    </row>
    <row r="33" spans="1:14" x14ac:dyDescent="0.25">
      <c r="A33" s="3">
        <v>202504</v>
      </c>
      <c r="B33" s="3">
        <v>15</v>
      </c>
      <c r="C33" s="3" t="s">
        <v>39</v>
      </c>
      <c r="D33" s="3" t="s">
        <v>63</v>
      </c>
      <c r="E33" s="3">
        <v>1</v>
      </c>
      <c r="F33" s="3">
        <v>10</v>
      </c>
      <c r="G33" s="3"/>
      <c r="H33" s="3"/>
      <c r="I33" s="3"/>
      <c r="J33" s="3"/>
      <c r="K33" s="3"/>
      <c r="L33" s="3">
        <v>2200</v>
      </c>
      <c r="M33" s="3"/>
      <c r="N33" s="3">
        <f>+IF(Tabla2[[#This Row],[valor_total]]="",Tabla2[[#This Row],[valor_individual]]*Tabla2[[#This Row],[unidad]],Tabla2[[#This Row],[valor_total]])</f>
        <v>2200</v>
      </c>
    </row>
    <row r="34" spans="1:14" x14ac:dyDescent="0.25">
      <c r="A34" s="3">
        <v>202504</v>
      </c>
      <c r="B34" s="3">
        <v>15</v>
      </c>
      <c r="C34" s="3" t="s">
        <v>64</v>
      </c>
      <c r="D34" s="3"/>
      <c r="E34" s="3">
        <v>1</v>
      </c>
      <c r="F34" s="3"/>
      <c r="G34" s="3"/>
      <c r="H34" s="3"/>
      <c r="I34" s="3">
        <v>250</v>
      </c>
      <c r="J34" s="3"/>
      <c r="K34" s="3"/>
      <c r="L34" s="3">
        <v>2200</v>
      </c>
      <c r="M34" s="3"/>
      <c r="N34" s="3">
        <f>+IF(Tabla2[[#This Row],[valor_total]]="",Tabla2[[#This Row],[valor_individual]]*Tabla2[[#This Row],[unidad]],Tabla2[[#This Row],[valor_total]])</f>
        <v>2200</v>
      </c>
    </row>
    <row r="35" spans="1:14" x14ac:dyDescent="0.25">
      <c r="A35" s="3">
        <v>202504</v>
      </c>
      <c r="B35" s="3">
        <v>15</v>
      </c>
      <c r="C35" s="3" t="s">
        <v>65</v>
      </c>
      <c r="D35" s="3"/>
      <c r="E35" s="3">
        <v>1</v>
      </c>
      <c r="F35" s="3"/>
      <c r="G35" s="3"/>
      <c r="H35" s="3"/>
      <c r="I35" s="3">
        <v>250</v>
      </c>
      <c r="J35" s="3"/>
      <c r="K35" s="3"/>
      <c r="L35" s="3">
        <v>2200</v>
      </c>
      <c r="M35" s="3"/>
      <c r="N35" s="3">
        <f>+IF(Tabla2[[#This Row],[valor_total]]="",Tabla2[[#This Row],[valor_individual]]*Tabla2[[#This Row],[unidad]],Tabla2[[#This Row],[valor_total]])</f>
        <v>2200</v>
      </c>
    </row>
    <row r="36" spans="1:14" x14ac:dyDescent="0.25">
      <c r="A36" s="3">
        <v>202504</v>
      </c>
      <c r="B36" s="3">
        <v>15</v>
      </c>
      <c r="C36" s="3" t="s">
        <v>42</v>
      </c>
      <c r="D36" s="3"/>
      <c r="E36" s="3">
        <v>3</v>
      </c>
      <c r="F36" s="3"/>
      <c r="G36" s="3"/>
      <c r="H36" s="3"/>
      <c r="I36" s="3"/>
      <c r="J36" s="3">
        <v>1.5</v>
      </c>
      <c r="K36" s="3"/>
      <c r="L36" s="3">
        <v>14300</v>
      </c>
      <c r="M36" s="3"/>
      <c r="N36" s="3">
        <f>+IF(Tabla2[[#This Row],[valor_total]]="",Tabla2[[#This Row],[valor_individual]]*Tabla2[[#This Row],[unidad]],Tabla2[[#This Row],[valor_total]])</f>
        <v>42900</v>
      </c>
    </row>
    <row r="37" spans="1:14" x14ac:dyDescent="0.25">
      <c r="A37" s="3">
        <v>202504</v>
      </c>
      <c r="B37" s="3">
        <v>15</v>
      </c>
      <c r="C37" s="3" t="s">
        <v>32</v>
      </c>
      <c r="D37" s="3"/>
      <c r="E37" s="3">
        <v>2</v>
      </c>
      <c r="F37" s="3">
        <v>6</v>
      </c>
      <c r="G37" s="3"/>
      <c r="H37" s="3"/>
      <c r="I37" s="3"/>
      <c r="J37" s="3"/>
      <c r="K37" s="3"/>
      <c r="L37" s="3">
        <v>4800</v>
      </c>
      <c r="M37" s="3"/>
      <c r="N37" s="3">
        <f>+IF(Tabla2[[#This Row],[valor_total]]="",Tabla2[[#This Row],[valor_individual]]*Tabla2[[#This Row],[unidad]],Tabla2[[#This Row],[valor_total]])</f>
        <v>9600</v>
      </c>
    </row>
    <row r="38" spans="1:14" x14ac:dyDescent="0.25">
      <c r="A38" s="3">
        <v>202504</v>
      </c>
      <c r="B38" s="3">
        <v>15</v>
      </c>
      <c r="C38" s="3" t="s">
        <v>43</v>
      </c>
      <c r="D38" s="3"/>
      <c r="E38" s="3">
        <v>1</v>
      </c>
      <c r="F38" s="3"/>
      <c r="G38" s="3"/>
      <c r="H38" s="3"/>
      <c r="I38" s="3">
        <v>500</v>
      </c>
      <c r="J38" s="3"/>
      <c r="K38" s="3"/>
      <c r="L38" s="3">
        <v>15800</v>
      </c>
      <c r="M38" s="3"/>
      <c r="N38" s="3">
        <f>+IF(Tabla2[[#This Row],[valor_total]]="",Tabla2[[#This Row],[valor_individual]]*Tabla2[[#This Row],[unidad]],Tabla2[[#This Row],[valor_total]])</f>
        <v>15800</v>
      </c>
    </row>
    <row r="39" spans="1:14" x14ac:dyDescent="0.25">
      <c r="A39" s="3">
        <v>202504</v>
      </c>
      <c r="B39" s="3">
        <v>15</v>
      </c>
      <c r="C39" s="3" t="s">
        <v>30</v>
      </c>
      <c r="D39" s="3"/>
      <c r="E39" s="3">
        <v>1</v>
      </c>
      <c r="F39" s="3">
        <v>12</v>
      </c>
      <c r="G39" s="3"/>
      <c r="H39" s="3"/>
      <c r="I39" s="3">
        <v>500</v>
      </c>
      <c r="J39" s="3"/>
      <c r="K39" s="3"/>
      <c r="L39" s="3">
        <v>6100</v>
      </c>
      <c r="M39" s="3"/>
      <c r="N39" s="3">
        <f>+IF(Tabla2[[#This Row],[valor_total]]="",Tabla2[[#This Row],[valor_individual]]*Tabla2[[#This Row],[unidad]],Tabla2[[#This Row],[valor_total]])</f>
        <v>6100</v>
      </c>
    </row>
    <row r="40" spans="1:14" x14ac:dyDescent="0.25">
      <c r="A40" s="3">
        <v>202504</v>
      </c>
      <c r="B40" s="3">
        <v>15</v>
      </c>
      <c r="C40" s="3" t="s">
        <v>44</v>
      </c>
      <c r="D40" s="3"/>
      <c r="E40" s="3">
        <v>1</v>
      </c>
      <c r="F40" s="3"/>
      <c r="G40" s="3"/>
      <c r="H40" s="3"/>
      <c r="I40" s="3">
        <v>450</v>
      </c>
      <c r="J40" s="3"/>
      <c r="K40" s="3"/>
      <c r="L40" s="3">
        <v>10000</v>
      </c>
      <c r="M40" s="3"/>
      <c r="N40" s="3">
        <f>+IF(Tabla2[[#This Row],[valor_total]]="",Tabla2[[#This Row],[valor_individual]]*Tabla2[[#This Row],[unidad]],Tabla2[[#This Row],[valor_total]])</f>
        <v>10000</v>
      </c>
    </row>
    <row r="41" spans="1:14" x14ac:dyDescent="0.25">
      <c r="A41" s="3">
        <v>202505</v>
      </c>
      <c r="B41" s="3">
        <v>15</v>
      </c>
      <c r="C41" s="3" t="s">
        <v>9</v>
      </c>
      <c r="D41" s="3"/>
      <c r="E41" s="3">
        <v>1</v>
      </c>
      <c r="F41" s="3">
        <v>6</v>
      </c>
      <c r="G41" s="3"/>
      <c r="H41" s="3"/>
      <c r="I41" s="3"/>
      <c r="J41" s="3"/>
      <c r="K41" s="3"/>
      <c r="L41" s="3"/>
      <c r="M41" s="3">
        <v>39200</v>
      </c>
      <c r="N41" s="3">
        <f>+IF(Tabla2[[#This Row],[valor_total]]="",Tabla2[[#This Row],[valor_individual]]*Tabla2[[#This Row],[unidad]],Tabla2[[#This Row],[valor_total]])</f>
        <v>39200</v>
      </c>
    </row>
    <row r="42" spans="1:14" x14ac:dyDescent="0.25">
      <c r="A42" s="3">
        <v>202505</v>
      </c>
      <c r="B42" s="3">
        <v>15</v>
      </c>
      <c r="C42" s="3" t="s">
        <v>11</v>
      </c>
      <c r="D42" s="3"/>
      <c r="E42" s="3">
        <v>1</v>
      </c>
      <c r="F42" s="3"/>
      <c r="G42" s="3"/>
      <c r="H42" s="3"/>
      <c r="I42" s="3">
        <v>500</v>
      </c>
      <c r="J42" s="3"/>
      <c r="K42" s="3"/>
      <c r="L42" s="3">
        <v>7800</v>
      </c>
      <c r="M42" s="3"/>
      <c r="N42" s="3">
        <f>+IF(Tabla2[[#This Row],[valor_total]]="",Tabla2[[#This Row],[valor_individual]]*Tabla2[[#This Row],[unidad]],Tabla2[[#This Row],[valor_total]])</f>
        <v>7800</v>
      </c>
    </row>
    <row r="43" spans="1:14" x14ac:dyDescent="0.25">
      <c r="A43" s="3">
        <v>202505</v>
      </c>
      <c r="B43" s="3">
        <v>15</v>
      </c>
      <c r="C43" s="3" t="s">
        <v>66</v>
      </c>
      <c r="D43" s="3"/>
      <c r="E43" s="3">
        <v>2</v>
      </c>
      <c r="F43" s="3"/>
      <c r="G43" s="3"/>
      <c r="H43" s="3"/>
      <c r="I43" s="3">
        <v>250</v>
      </c>
      <c r="J43" s="3"/>
      <c r="K43" s="3"/>
      <c r="L43" s="3">
        <v>2200</v>
      </c>
      <c r="M43" s="3"/>
      <c r="N43" s="3">
        <f>+IF(Tabla2[[#This Row],[valor_total]]="",Tabla2[[#This Row],[valor_individual]]*Tabla2[[#This Row],[unidad]],Tabla2[[#This Row],[valor_total]])</f>
        <v>4400</v>
      </c>
    </row>
    <row r="44" spans="1:14" x14ac:dyDescent="0.25">
      <c r="A44" s="3">
        <v>202505</v>
      </c>
      <c r="B44" s="3">
        <v>15</v>
      </c>
      <c r="C44" s="3" t="s">
        <v>35</v>
      </c>
      <c r="D44" s="3"/>
      <c r="E44" s="3">
        <v>2</v>
      </c>
      <c r="F44" s="3"/>
      <c r="G44" s="3"/>
      <c r="H44" s="3"/>
      <c r="I44" s="3">
        <v>500</v>
      </c>
      <c r="J44" s="3"/>
      <c r="K44" s="3"/>
      <c r="L44" s="3">
        <v>6000</v>
      </c>
      <c r="M44" s="3"/>
      <c r="N44" s="3">
        <f>+IF(Tabla2[[#This Row],[valor_total]]="",Tabla2[[#This Row],[valor_individual]]*Tabla2[[#This Row],[unidad]],Tabla2[[#This Row],[valor_total]])</f>
        <v>12000</v>
      </c>
    </row>
    <row r="45" spans="1:14" x14ac:dyDescent="0.25">
      <c r="A45" s="3">
        <v>202505</v>
      </c>
      <c r="B45" s="3">
        <v>15</v>
      </c>
      <c r="C45" s="3" t="s">
        <v>45</v>
      </c>
      <c r="D45" s="3"/>
      <c r="E45" s="3">
        <v>2</v>
      </c>
      <c r="F45" s="3"/>
      <c r="G45" s="3"/>
      <c r="H45" s="3"/>
      <c r="I45" s="3">
        <v>500</v>
      </c>
      <c r="J45" s="3"/>
      <c r="K45" s="3"/>
      <c r="L45" s="3">
        <v>4400</v>
      </c>
      <c r="M45" s="3"/>
      <c r="N45" s="3">
        <f>+IF(Tabla2[[#This Row],[valor_total]]="",Tabla2[[#This Row],[valor_individual]]*Tabla2[[#This Row],[unidad]],Tabla2[[#This Row],[valor_total]])</f>
        <v>8800</v>
      </c>
    </row>
    <row r="46" spans="1:14" x14ac:dyDescent="0.25">
      <c r="A46" s="3">
        <v>202505</v>
      </c>
      <c r="B46" s="3">
        <v>15</v>
      </c>
      <c r="C46" s="3" t="s">
        <v>46</v>
      </c>
      <c r="D46" s="3"/>
      <c r="E46" s="3">
        <v>1</v>
      </c>
      <c r="F46" s="3"/>
      <c r="G46" s="3"/>
      <c r="H46" s="3">
        <v>3</v>
      </c>
      <c r="I46" s="3"/>
      <c r="J46" s="3"/>
      <c r="K46" s="3"/>
      <c r="L46" s="3">
        <v>7200</v>
      </c>
      <c r="M46" s="3">
        <v>7200</v>
      </c>
      <c r="N46" s="3">
        <f>+IF(Tabla2[[#This Row],[valor_total]]="",Tabla2[[#This Row],[valor_individual]]*Tabla2[[#This Row],[unidad]],Tabla2[[#This Row],[valor_total]])</f>
        <v>7200</v>
      </c>
    </row>
    <row r="47" spans="1:14" x14ac:dyDescent="0.25">
      <c r="A47" s="3">
        <v>202505</v>
      </c>
      <c r="B47" s="3">
        <v>15</v>
      </c>
      <c r="C47" s="3" t="s">
        <v>17</v>
      </c>
      <c r="D47" s="3"/>
      <c r="E47" s="3">
        <v>1</v>
      </c>
      <c r="F47" s="3"/>
      <c r="G47" s="3"/>
      <c r="H47" s="3"/>
      <c r="I47" s="3">
        <v>425</v>
      </c>
      <c r="J47" s="3"/>
      <c r="K47" s="3"/>
      <c r="L47" s="3">
        <v>19400</v>
      </c>
      <c r="M47" s="3">
        <v>19400</v>
      </c>
      <c r="N47" s="3">
        <f>+IF(Tabla2[[#This Row],[valor_total]]="",Tabla2[[#This Row],[valor_individual]]*Tabla2[[#This Row],[unidad]],Tabla2[[#This Row],[valor_total]])</f>
        <v>19400</v>
      </c>
    </row>
    <row r="48" spans="1:14" x14ac:dyDescent="0.25">
      <c r="A48" s="3">
        <v>202505</v>
      </c>
      <c r="B48" s="3">
        <v>15</v>
      </c>
      <c r="C48" s="3" t="s">
        <v>12</v>
      </c>
      <c r="D48" s="3"/>
      <c r="E48" s="3">
        <v>1</v>
      </c>
      <c r="F48" s="3"/>
      <c r="G48" s="3"/>
      <c r="H48" s="3"/>
      <c r="I48" s="3"/>
      <c r="J48" s="3"/>
      <c r="K48" s="3">
        <v>2000</v>
      </c>
      <c r="L48" s="3">
        <v>29400</v>
      </c>
      <c r="M48" s="3">
        <v>29400</v>
      </c>
      <c r="N48" s="3">
        <f>+IF(Tabla2[[#This Row],[valor_total]]="",Tabla2[[#This Row],[valor_individual]]*Tabla2[[#This Row],[unidad]],Tabla2[[#This Row],[valor_total]])</f>
        <v>29400</v>
      </c>
    </row>
    <row r="49" spans="1:14" x14ac:dyDescent="0.25">
      <c r="A49" s="3">
        <v>202505</v>
      </c>
      <c r="B49" s="3">
        <v>15</v>
      </c>
      <c r="C49" s="3" t="s">
        <v>37</v>
      </c>
      <c r="D49" s="3"/>
      <c r="E49" s="3">
        <v>1</v>
      </c>
      <c r="F49" s="3"/>
      <c r="G49" s="3"/>
      <c r="H49" s="3">
        <v>4</v>
      </c>
      <c r="I49" s="3"/>
      <c r="J49" s="3"/>
      <c r="K49" s="3"/>
      <c r="L49" s="3">
        <v>47600</v>
      </c>
      <c r="M49" s="3">
        <v>47600</v>
      </c>
      <c r="N49" s="3">
        <f>+IF(Tabla2[[#This Row],[valor_total]]="",Tabla2[[#This Row],[valor_individual]]*Tabla2[[#This Row],[unidad]],Tabla2[[#This Row],[valor_total]])</f>
        <v>47600</v>
      </c>
    </row>
    <row r="50" spans="1:14" x14ac:dyDescent="0.25">
      <c r="A50" s="3">
        <v>202505</v>
      </c>
      <c r="B50" s="3">
        <v>15</v>
      </c>
      <c r="C50" s="3" t="s">
        <v>24</v>
      </c>
      <c r="D50" s="3"/>
      <c r="E50" s="3">
        <v>2</v>
      </c>
      <c r="F50" s="3">
        <v>12</v>
      </c>
      <c r="G50" s="3"/>
      <c r="H50" s="3"/>
      <c r="I50" s="3"/>
      <c r="J50" s="3"/>
      <c r="K50" s="3"/>
      <c r="L50" s="3">
        <v>16700</v>
      </c>
      <c r="M50" s="3"/>
      <c r="N50" s="3">
        <f>+IF(Tabla2[[#This Row],[valor_total]]="",Tabla2[[#This Row],[valor_individual]]*Tabla2[[#This Row],[unidad]],Tabla2[[#This Row],[valor_total]])</f>
        <v>33400</v>
      </c>
    </row>
    <row r="51" spans="1:14" x14ac:dyDescent="0.25">
      <c r="A51" s="3">
        <v>202505</v>
      </c>
      <c r="B51" s="3">
        <v>15</v>
      </c>
      <c r="C51" s="3" t="s">
        <v>23</v>
      </c>
      <c r="D51" s="3"/>
      <c r="E51" s="3">
        <v>1</v>
      </c>
      <c r="F51" s="3"/>
      <c r="G51" s="3"/>
      <c r="H51" s="3"/>
      <c r="I51" s="3"/>
      <c r="J51" s="3">
        <v>1</v>
      </c>
      <c r="K51" s="3"/>
      <c r="L51" s="3">
        <v>11200</v>
      </c>
      <c r="M51" s="3">
        <v>11200</v>
      </c>
      <c r="N51" s="3">
        <f>+IF(Tabla2[[#This Row],[valor_total]]="",Tabla2[[#This Row],[valor_individual]]*Tabla2[[#This Row],[unidad]],Tabla2[[#This Row],[valor_total]])</f>
        <v>11200</v>
      </c>
    </row>
    <row r="52" spans="1:14" x14ac:dyDescent="0.25">
      <c r="A52" s="3">
        <v>202505</v>
      </c>
      <c r="B52" s="3">
        <v>15</v>
      </c>
      <c r="C52" s="3" t="s">
        <v>47</v>
      </c>
      <c r="D52" s="3"/>
      <c r="E52" s="3">
        <v>2</v>
      </c>
      <c r="F52" s="3"/>
      <c r="G52" s="3"/>
      <c r="H52" s="3"/>
      <c r="I52" s="3">
        <v>85</v>
      </c>
      <c r="J52" s="3"/>
      <c r="K52" s="3"/>
      <c r="L52" s="3">
        <v>2000</v>
      </c>
      <c r="M52" s="3">
        <v>2000</v>
      </c>
      <c r="N52" s="3">
        <f>+IF(Tabla2[[#This Row],[valor_total]]="",Tabla2[[#This Row],[valor_individual]]*Tabla2[[#This Row],[unidad]],Tabla2[[#This Row],[valor_total]])</f>
        <v>2000</v>
      </c>
    </row>
    <row r="53" spans="1:14" x14ac:dyDescent="0.25">
      <c r="A53" s="3">
        <v>202505</v>
      </c>
      <c r="B53" s="3">
        <v>15</v>
      </c>
      <c r="C53" s="3" t="s">
        <v>20</v>
      </c>
      <c r="D53" s="3"/>
      <c r="E53" s="3">
        <v>5</v>
      </c>
      <c r="F53" s="3"/>
      <c r="G53" s="3"/>
      <c r="H53" s="3"/>
      <c r="I53" s="3">
        <v>50</v>
      </c>
      <c r="J53" s="3"/>
      <c r="K53" s="3"/>
      <c r="L53" s="3">
        <v>4500</v>
      </c>
      <c r="M53" s="3"/>
      <c r="N53" s="3">
        <f>+IF(Tabla2[[#This Row],[valor_total]]="",Tabla2[[#This Row],[valor_individual]]*Tabla2[[#This Row],[unidad]],Tabla2[[#This Row],[valor_total]])</f>
        <v>22500</v>
      </c>
    </row>
    <row r="54" spans="1:14" x14ac:dyDescent="0.25">
      <c r="A54" s="3">
        <v>202505</v>
      </c>
      <c r="B54" s="3">
        <v>15</v>
      </c>
      <c r="C54" s="3" t="s">
        <v>41</v>
      </c>
      <c r="D54" s="3"/>
      <c r="E54" s="3">
        <v>4</v>
      </c>
      <c r="F54" s="3"/>
      <c r="G54" s="3"/>
      <c r="H54" s="3"/>
      <c r="I54" s="3">
        <v>250</v>
      </c>
      <c r="J54" s="3"/>
      <c r="K54" s="3"/>
      <c r="L54" s="3">
        <v>2200</v>
      </c>
      <c r="M54" s="3"/>
      <c r="N54" s="3">
        <f>+IF(Tabla2[[#This Row],[valor_total]]="",Tabla2[[#This Row],[valor_individual]]*Tabla2[[#This Row],[unidad]],Tabla2[[#This Row],[valor_total]])</f>
        <v>8800</v>
      </c>
    </row>
    <row r="55" spans="1:14" x14ac:dyDescent="0.25">
      <c r="A55" s="3">
        <v>202505</v>
      </c>
      <c r="B55" s="3">
        <v>15</v>
      </c>
      <c r="C55" s="3" t="s">
        <v>21</v>
      </c>
      <c r="D55" s="3"/>
      <c r="E55" s="3">
        <v>1</v>
      </c>
      <c r="F55" s="3"/>
      <c r="G55" s="3"/>
      <c r="H55" s="3">
        <v>1</v>
      </c>
      <c r="I55" s="3"/>
      <c r="J55" s="3"/>
      <c r="K55" s="3"/>
      <c r="L55" s="3">
        <v>4400</v>
      </c>
      <c r="M55" s="3">
        <v>4400</v>
      </c>
      <c r="N55" s="3">
        <f>+IF(Tabla2[[#This Row],[valor_total]]="",Tabla2[[#This Row],[valor_individual]]*Tabla2[[#This Row],[unidad]],Tabla2[[#This Row],[valor_total]])</f>
        <v>4400</v>
      </c>
    </row>
    <row r="56" spans="1:14" x14ac:dyDescent="0.25">
      <c r="A56" s="3">
        <v>202505</v>
      </c>
      <c r="B56" s="3">
        <v>15</v>
      </c>
      <c r="C56" s="3" t="s">
        <v>48</v>
      </c>
      <c r="D56" s="3"/>
      <c r="E56" s="3">
        <v>1</v>
      </c>
      <c r="F56" s="3"/>
      <c r="G56" s="3"/>
      <c r="H56" s="3"/>
      <c r="I56" s="3">
        <v>1000</v>
      </c>
      <c r="J56" s="3"/>
      <c r="K56" s="3"/>
      <c r="L56" s="3">
        <v>14100</v>
      </c>
      <c r="M56" s="3">
        <v>14100</v>
      </c>
      <c r="N56" s="3">
        <f>+IF(Tabla2[[#This Row],[valor_total]]="",Tabla2[[#This Row],[valor_individual]]*Tabla2[[#This Row],[unidad]],Tabla2[[#This Row],[valor_total]])</f>
        <v>14100</v>
      </c>
    </row>
    <row r="57" spans="1:14" x14ac:dyDescent="0.25">
      <c r="A57" s="3">
        <v>202505</v>
      </c>
      <c r="B57" s="3">
        <v>15</v>
      </c>
      <c r="C57" s="3" t="s">
        <v>49</v>
      </c>
      <c r="D57" s="3"/>
      <c r="E57" s="3">
        <v>1</v>
      </c>
      <c r="F57" s="3"/>
      <c r="G57" s="3"/>
      <c r="H57" s="3"/>
      <c r="I57" s="3"/>
      <c r="J57" s="3"/>
      <c r="K57" s="3"/>
      <c r="L57" s="3">
        <v>4300</v>
      </c>
      <c r="M57" s="3">
        <v>4300</v>
      </c>
      <c r="N57" s="3">
        <f>+IF(Tabla2[[#This Row],[valor_total]]="",Tabla2[[#This Row],[valor_individual]]*Tabla2[[#This Row],[unidad]],Tabla2[[#This Row],[valor_total]])</f>
        <v>4300</v>
      </c>
    </row>
    <row r="58" spans="1:14" x14ac:dyDescent="0.25">
      <c r="A58" s="3">
        <v>202505</v>
      </c>
      <c r="B58" s="3">
        <v>15</v>
      </c>
      <c r="C58" s="3" t="s">
        <v>36</v>
      </c>
      <c r="D58" s="3"/>
      <c r="E58" s="3">
        <v>1</v>
      </c>
      <c r="F58" s="3"/>
      <c r="G58" s="3"/>
      <c r="H58" s="3"/>
      <c r="I58" s="3"/>
      <c r="J58" s="3"/>
      <c r="K58" s="3"/>
      <c r="L58" s="3">
        <v>11100</v>
      </c>
      <c r="M58" s="3">
        <v>11100</v>
      </c>
      <c r="N58" s="3">
        <f>+IF(Tabla2[[#This Row],[valor_total]]="",Tabla2[[#This Row],[valor_individual]]*Tabla2[[#This Row],[unidad]],Tabla2[[#This Row],[valor_total]])</f>
        <v>11100</v>
      </c>
    </row>
    <row r="59" spans="1:14" x14ac:dyDescent="0.25">
      <c r="A59" s="3">
        <v>202505</v>
      </c>
      <c r="B59" s="3">
        <v>15</v>
      </c>
      <c r="C59" s="3" t="s">
        <v>29</v>
      </c>
      <c r="D59" s="3"/>
      <c r="E59" s="3">
        <v>1</v>
      </c>
      <c r="F59" s="3"/>
      <c r="G59" s="3"/>
      <c r="H59" s="3"/>
      <c r="I59" s="3">
        <v>500</v>
      </c>
      <c r="J59" s="3"/>
      <c r="K59" s="3"/>
      <c r="L59" s="3">
        <v>11000</v>
      </c>
      <c r="M59" s="3">
        <v>11000</v>
      </c>
      <c r="N59" s="3">
        <f>+IF(Tabla2[[#This Row],[valor_total]]="",Tabla2[[#This Row],[valor_individual]]*Tabla2[[#This Row],[unidad]],Tabla2[[#This Row],[valor_total]])</f>
        <v>11000</v>
      </c>
    </row>
    <row r="60" spans="1:14" x14ac:dyDescent="0.25">
      <c r="A60" s="3">
        <v>202505</v>
      </c>
      <c r="B60" s="3">
        <v>15</v>
      </c>
      <c r="C60" s="3" t="s">
        <v>42</v>
      </c>
      <c r="D60" s="3"/>
      <c r="E60" s="3">
        <v>3</v>
      </c>
      <c r="F60" s="3"/>
      <c r="G60" s="3"/>
      <c r="H60" s="3"/>
      <c r="I60" s="3"/>
      <c r="J60" s="3">
        <v>3125</v>
      </c>
      <c r="K60" s="3"/>
      <c r="L60" s="3"/>
      <c r="M60" s="3">
        <v>14300</v>
      </c>
      <c r="N60" s="3">
        <f>+IF(Tabla2[[#This Row],[valor_total]]="",Tabla2[[#This Row],[valor_individual]]*Tabla2[[#This Row],[unidad]],Tabla2[[#This Row],[valor_total]])</f>
        <v>14300</v>
      </c>
    </row>
    <row r="61" spans="1:14" x14ac:dyDescent="0.25">
      <c r="A61" s="3">
        <v>202505</v>
      </c>
      <c r="B61" s="3">
        <v>15</v>
      </c>
      <c r="C61" s="3" t="s">
        <v>32</v>
      </c>
      <c r="D61" s="3"/>
      <c r="E61" s="3">
        <v>2</v>
      </c>
      <c r="F61" s="3"/>
      <c r="G61" s="3"/>
      <c r="H61" s="3"/>
      <c r="I61" s="3"/>
      <c r="J61" s="3"/>
      <c r="K61" s="3">
        <v>6250</v>
      </c>
      <c r="L61" s="3">
        <v>4800</v>
      </c>
      <c r="M61" s="3">
        <v>4800</v>
      </c>
      <c r="N61" s="3">
        <f>+IF(Tabla2[[#This Row],[valor_total]]="",Tabla2[[#This Row],[valor_individual]]*Tabla2[[#This Row],[unidad]],Tabla2[[#This Row],[valor_total]])</f>
        <v>4800</v>
      </c>
    </row>
    <row r="62" spans="1:14" x14ac:dyDescent="0.25">
      <c r="A62" s="3">
        <v>202505</v>
      </c>
      <c r="B62" s="3">
        <v>15</v>
      </c>
      <c r="C62" s="3" t="s">
        <v>43</v>
      </c>
      <c r="D62" s="3"/>
      <c r="E62" s="3">
        <v>1</v>
      </c>
      <c r="F62" s="3"/>
      <c r="G62" s="3"/>
      <c r="H62" s="3"/>
      <c r="I62" s="3">
        <v>500</v>
      </c>
      <c r="J62" s="3"/>
      <c r="K62" s="3"/>
      <c r="L62" s="3">
        <v>15800</v>
      </c>
      <c r="M62" s="3">
        <v>15800</v>
      </c>
      <c r="N62" s="3">
        <f>+IF(Tabla2[[#This Row],[valor_total]]="",Tabla2[[#This Row],[valor_individual]]*Tabla2[[#This Row],[unidad]],Tabla2[[#This Row],[valor_total]])</f>
        <v>15800</v>
      </c>
    </row>
    <row r="63" spans="1:14" x14ac:dyDescent="0.25">
      <c r="A63" s="3">
        <v>202505</v>
      </c>
      <c r="B63" s="3">
        <v>15</v>
      </c>
      <c r="C63" s="3" t="s">
        <v>30</v>
      </c>
      <c r="D63" s="3"/>
      <c r="E63" s="3">
        <v>2</v>
      </c>
      <c r="F63" s="3"/>
      <c r="G63" s="3"/>
      <c r="H63" s="3"/>
      <c r="I63" s="3">
        <v>500</v>
      </c>
      <c r="J63" s="3"/>
      <c r="K63" s="3"/>
      <c r="L63" s="3">
        <v>3050</v>
      </c>
      <c r="M63" s="3">
        <v>6100</v>
      </c>
      <c r="N63" s="3">
        <f>+IF(Tabla2[[#This Row],[valor_total]]="",Tabla2[[#This Row],[valor_individual]]*Tabla2[[#This Row],[unidad]],Tabla2[[#This Row],[valor_total]])</f>
        <v>6100</v>
      </c>
    </row>
    <row r="64" spans="1:14" x14ac:dyDescent="0.25">
      <c r="A64" s="3">
        <v>202505</v>
      </c>
      <c r="B64" s="3">
        <v>15</v>
      </c>
      <c r="C64" s="3" t="s">
        <v>50</v>
      </c>
      <c r="D64" s="3"/>
      <c r="E64" s="3">
        <v>1</v>
      </c>
      <c r="F64" s="3"/>
      <c r="G64" s="3"/>
      <c r="H64" s="3"/>
      <c r="I64" s="3">
        <v>500</v>
      </c>
      <c r="J64" s="3"/>
      <c r="K64" s="3"/>
      <c r="L64" s="3">
        <v>13900</v>
      </c>
      <c r="M64" s="3">
        <v>13900</v>
      </c>
      <c r="N64" s="3">
        <f>+IF(Tabla2[[#This Row],[valor_total]]="",Tabla2[[#This Row],[valor_individual]]*Tabla2[[#This Row],[unidad]],Tabla2[[#This Row],[valor_total]])</f>
        <v>13900</v>
      </c>
    </row>
    <row r="65" spans="1:14" x14ac:dyDescent="0.25">
      <c r="A65" s="3">
        <v>202505</v>
      </c>
      <c r="B65" s="3">
        <v>15</v>
      </c>
      <c r="C65" s="3" t="s">
        <v>51</v>
      </c>
      <c r="D65" s="3"/>
      <c r="E65" s="3">
        <v>2</v>
      </c>
      <c r="F65" s="3"/>
      <c r="G65" s="3"/>
      <c r="H65" s="3"/>
      <c r="I65" s="3">
        <v>1000</v>
      </c>
      <c r="J65" s="3"/>
      <c r="K65" s="3"/>
      <c r="L65" s="3">
        <v>3000</v>
      </c>
      <c r="M65" s="3">
        <v>6000</v>
      </c>
      <c r="N65" s="3">
        <f>+IF(Tabla2[[#This Row],[valor_total]]="",Tabla2[[#This Row],[valor_individual]]*Tabla2[[#This Row],[unidad]],Tabla2[[#This Row],[valor_total]])</f>
        <v>6000</v>
      </c>
    </row>
    <row r="66" spans="1:14" x14ac:dyDescent="0.25">
      <c r="A66" s="3">
        <v>202505</v>
      </c>
      <c r="B66" s="3">
        <v>15</v>
      </c>
      <c r="C66" s="3" t="s">
        <v>52</v>
      </c>
      <c r="D66" s="3"/>
      <c r="E66" s="3">
        <v>1</v>
      </c>
      <c r="F66" s="3"/>
      <c r="G66" s="3"/>
      <c r="H66" s="3"/>
      <c r="I66" s="3">
        <v>354</v>
      </c>
      <c r="J66" s="3"/>
      <c r="K66" s="3"/>
      <c r="L66" s="3">
        <v>7900</v>
      </c>
      <c r="M66" s="3">
        <v>7900</v>
      </c>
      <c r="N66" s="3">
        <f>+IF(Tabla2[[#This Row],[valor_total]]="",Tabla2[[#This Row],[valor_individual]]*Tabla2[[#This Row],[unidad]],Tabla2[[#This Row],[valor_total]])</f>
        <v>7900</v>
      </c>
    </row>
    <row r="67" spans="1:14" x14ac:dyDescent="0.25">
      <c r="A67" s="3">
        <v>202505</v>
      </c>
      <c r="B67" s="3">
        <v>15</v>
      </c>
      <c r="C67" s="3" t="s">
        <v>53</v>
      </c>
      <c r="D67" s="3"/>
      <c r="E67" s="3">
        <v>1</v>
      </c>
      <c r="F67" s="3">
        <v>22</v>
      </c>
      <c r="G67" s="3"/>
      <c r="H67" s="3"/>
      <c r="I67" s="3"/>
      <c r="J67" s="3"/>
      <c r="K67" s="3"/>
      <c r="L67" s="3">
        <v>8400</v>
      </c>
      <c r="M67" s="3">
        <v>8400</v>
      </c>
      <c r="N67" s="3">
        <f>+IF(Tabla2[[#This Row],[valor_total]]="",Tabla2[[#This Row],[valor_individual]]*Tabla2[[#This Row],[unidad]],Tabla2[[#This Row],[valor_total]])</f>
        <v>8400</v>
      </c>
    </row>
    <row r="68" spans="1:14" x14ac:dyDescent="0.25">
      <c r="A68" s="3">
        <v>202505</v>
      </c>
      <c r="B68" s="3">
        <v>15</v>
      </c>
      <c r="C68" s="3" t="s">
        <v>54</v>
      </c>
      <c r="D68" s="3"/>
      <c r="E68" s="3">
        <v>8</v>
      </c>
      <c r="F68" s="3"/>
      <c r="G68" s="3"/>
      <c r="H68" s="3"/>
      <c r="I68" s="3">
        <v>152</v>
      </c>
      <c r="J68" s="3"/>
      <c r="K68" s="3"/>
      <c r="L68" s="3"/>
      <c r="M68" s="3">
        <v>5600</v>
      </c>
      <c r="N68" s="3">
        <f>+IF(Tabla2[[#This Row],[valor_total]]="",Tabla2[[#This Row],[valor_individual]]*Tabla2[[#This Row],[unidad]],Tabla2[[#This Row],[valor_total]])</f>
        <v>5600</v>
      </c>
    </row>
    <row r="69" spans="1:14" x14ac:dyDescent="0.25">
      <c r="A69" s="3">
        <v>202505</v>
      </c>
      <c r="B69" s="3">
        <v>15</v>
      </c>
      <c r="C69" s="3" t="s">
        <v>55</v>
      </c>
      <c r="D69" s="3"/>
      <c r="E69" s="3">
        <v>1</v>
      </c>
      <c r="F69" s="3">
        <v>36</v>
      </c>
      <c r="G69" s="3"/>
      <c r="H69" s="3"/>
      <c r="I69" s="3"/>
      <c r="J69" s="3"/>
      <c r="K69" s="3"/>
      <c r="L69" s="3">
        <v>18600</v>
      </c>
      <c r="M69" s="3">
        <v>18600</v>
      </c>
      <c r="N69" s="3">
        <f>+IF(Tabla2[[#This Row],[valor_total]]="",Tabla2[[#This Row],[valor_individual]]*Tabla2[[#This Row],[unidad]],Tabla2[[#This Row],[valor_total]])</f>
        <v>18600</v>
      </c>
    </row>
    <row r="70" spans="1:14" x14ac:dyDescent="0.25">
      <c r="A70" s="3">
        <v>202507</v>
      </c>
      <c r="B70" s="3">
        <v>1</v>
      </c>
      <c r="C70" s="3" t="s">
        <v>9</v>
      </c>
      <c r="D70" s="3"/>
      <c r="E70" s="3">
        <v>1</v>
      </c>
      <c r="F70" s="3">
        <v>6</v>
      </c>
      <c r="G70" s="3"/>
      <c r="H70" s="3"/>
      <c r="I70" s="3"/>
      <c r="J70" s="3"/>
      <c r="K70" s="3"/>
      <c r="L70" s="3"/>
      <c r="M70" s="3">
        <v>35900</v>
      </c>
      <c r="N70" s="3">
        <f>+IF(Tabla2[[#This Row],[valor_total]]="",Tabla2[[#This Row],[valor_individual]]*Tabla2[[#This Row],[unidad]],Tabla2[[#This Row],[valor_total]])</f>
        <v>35900</v>
      </c>
    </row>
    <row r="71" spans="1:14" x14ac:dyDescent="0.25">
      <c r="A71" s="3">
        <v>202507</v>
      </c>
      <c r="B71" s="3">
        <v>1</v>
      </c>
      <c r="C71" s="3" t="s">
        <v>10</v>
      </c>
      <c r="D71" s="3"/>
      <c r="E71" s="3">
        <v>3</v>
      </c>
      <c r="F71" s="3">
        <v>30</v>
      </c>
      <c r="G71" s="3"/>
      <c r="H71" s="3"/>
      <c r="I71" s="3"/>
      <c r="J71" s="3"/>
      <c r="K71" s="3"/>
      <c r="L71" s="3">
        <v>14800</v>
      </c>
      <c r="M71" s="3"/>
      <c r="N71" s="3">
        <f>+IF(Tabla2[[#This Row],[valor_total]]="",Tabla2[[#This Row],[valor_individual]]*Tabla2[[#This Row],[unidad]],Tabla2[[#This Row],[valor_total]])</f>
        <v>44400</v>
      </c>
    </row>
    <row r="72" spans="1:14" x14ac:dyDescent="0.25">
      <c r="A72" s="3">
        <v>202507</v>
      </c>
      <c r="B72" s="3">
        <v>1</v>
      </c>
      <c r="C72" s="3" t="s">
        <v>11</v>
      </c>
      <c r="D72" s="3"/>
      <c r="E72" s="3">
        <v>1</v>
      </c>
      <c r="F72" s="3"/>
      <c r="G72" s="3"/>
      <c r="H72" s="3"/>
      <c r="I72" s="3">
        <v>500</v>
      </c>
      <c r="J72" s="3"/>
      <c r="K72" s="3"/>
      <c r="L72" s="3">
        <v>9400</v>
      </c>
      <c r="M72" s="3"/>
      <c r="N72" s="3">
        <f>+IF(Tabla2[[#This Row],[valor_total]]="",Tabla2[[#This Row],[valor_individual]]*Tabla2[[#This Row],[unidad]],Tabla2[[#This Row],[valor_total]])</f>
        <v>9400</v>
      </c>
    </row>
    <row r="73" spans="1:14" x14ac:dyDescent="0.25">
      <c r="A73" s="3">
        <v>202507</v>
      </c>
      <c r="B73" s="3">
        <v>1</v>
      </c>
      <c r="C73" s="3" t="s">
        <v>41</v>
      </c>
      <c r="D73" s="3"/>
      <c r="E73" s="3">
        <v>1</v>
      </c>
      <c r="F73" s="3"/>
      <c r="G73" s="3"/>
      <c r="H73" s="3"/>
      <c r="I73" s="3">
        <v>250</v>
      </c>
      <c r="J73" s="3"/>
      <c r="K73" s="3"/>
      <c r="L73" s="3">
        <v>2200</v>
      </c>
      <c r="M73" s="3"/>
      <c r="N73" s="3">
        <f>+IF(Tabla2[[#This Row],[valor_total]]="",Tabla2[[#This Row],[valor_individual]]*Tabla2[[#This Row],[unidad]],Tabla2[[#This Row],[valor_total]])</f>
        <v>2200</v>
      </c>
    </row>
    <row r="74" spans="1:14" x14ac:dyDescent="0.25">
      <c r="A74" s="3">
        <v>202507</v>
      </c>
      <c r="B74" s="3">
        <v>1</v>
      </c>
      <c r="C74" s="3" t="s">
        <v>12</v>
      </c>
      <c r="D74" s="3"/>
      <c r="E74" s="3">
        <v>1</v>
      </c>
      <c r="F74" s="3"/>
      <c r="G74" s="3"/>
      <c r="H74" s="3"/>
      <c r="I74" s="3"/>
      <c r="J74" s="3"/>
      <c r="K74" s="3">
        <v>2609</v>
      </c>
      <c r="L74" s="3">
        <v>38900</v>
      </c>
      <c r="M74" s="3"/>
      <c r="N74" s="3">
        <f>+IF(Tabla2[[#This Row],[valor_total]]="",Tabla2[[#This Row],[valor_individual]]*Tabla2[[#This Row],[unidad]],Tabla2[[#This Row],[valor_total]])</f>
        <v>38900</v>
      </c>
    </row>
    <row r="75" spans="1:14" x14ac:dyDescent="0.25">
      <c r="A75" s="3">
        <v>202507</v>
      </c>
      <c r="B75" s="3">
        <v>1</v>
      </c>
      <c r="C75" s="3" t="s">
        <v>13</v>
      </c>
      <c r="D75" s="3"/>
      <c r="E75" s="3">
        <v>1</v>
      </c>
      <c r="F75" s="3"/>
      <c r="G75" s="3"/>
      <c r="H75" s="3">
        <v>5</v>
      </c>
      <c r="I75" s="3"/>
      <c r="J75" s="3"/>
      <c r="K75" s="3"/>
      <c r="L75" s="3">
        <v>22000</v>
      </c>
      <c r="M75" s="3"/>
      <c r="N75" s="3">
        <f>+IF(Tabla2[[#This Row],[valor_total]]="",Tabla2[[#This Row],[valor_individual]]*Tabla2[[#This Row],[unidad]],Tabla2[[#This Row],[valor_total]])</f>
        <v>22000</v>
      </c>
    </row>
    <row r="76" spans="1:14" x14ac:dyDescent="0.25">
      <c r="A76" s="3">
        <v>202507</v>
      </c>
      <c r="B76" s="3">
        <v>1</v>
      </c>
      <c r="C76" s="3" t="s">
        <v>67</v>
      </c>
      <c r="D76" s="3"/>
      <c r="E76" s="3">
        <v>1</v>
      </c>
      <c r="F76" s="3"/>
      <c r="G76" s="3"/>
      <c r="H76" s="3">
        <v>2.5</v>
      </c>
      <c r="I76" s="3"/>
      <c r="J76" s="3"/>
      <c r="K76" s="3"/>
      <c r="L76" s="3">
        <v>12000</v>
      </c>
      <c r="M76" s="3"/>
      <c r="N76" s="3">
        <f>+IF(Tabla2[[#This Row],[valor_total]]="",Tabla2[[#This Row],[valor_individual]]*Tabla2[[#This Row],[unidad]],Tabla2[[#This Row],[valor_total]])</f>
        <v>12000</v>
      </c>
    </row>
    <row r="77" spans="1:14" x14ac:dyDescent="0.25">
      <c r="A77" s="3">
        <v>202507</v>
      </c>
      <c r="B77" s="3">
        <v>1</v>
      </c>
      <c r="C77" s="3" t="s">
        <v>68</v>
      </c>
      <c r="D77" s="3"/>
      <c r="E77" s="3">
        <v>2</v>
      </c>
      <c r="F77" s="3"/>
      <c r="G77" s="3"/>
      <c r="H77" s="3"/>
      <c r="I77" s="3">
        <v>50</v>
      </c>
      <c r="J77" s="3"/>
      <c r="K77" s="3"/>
      <c r="L77" s="3">
        <v>4500</v>
      </c>
      <c r="M77" s="3"/>
      <c r="N77" s="3">
        <f>+IF(Tabla2[[#This Row],[valor_total]]="",Tabla2[[#This Row],[valor_individual]]*Tabla2[[#This Row],[unidad]],Tabla2[[#This Row],[valor_total]])</f>
        <v>9000</v>
      </c>
    </row>
    <row r="78" spans="1:14" x14ac:dyDescent="0.25">
      <c r="A78" s="3">
        <v>202507</v>
      </c>
      <c r="B78" s="3">
        <v>1</v>
      </c>
      <c r="C78" s="3" t="s">
        <v>37</v>
      </c>
      <c r="D78" s="3"/>
      <c r="E78" s="3">
        <v>1</v>
      </c>
      <c r="F78" s="3"/>
      <c r="G78" s="3"/>
      <c r="H78" s="3">
        <v>4</v>
      </c>
      <c r="I78" s="3"/>
      <c r="J78" s="3"/>
      <c r="K78" s="3"/>
      <c r="L78" s="3">
        <v>47600</v>
      </c>
      <c r="M78" s="3"/>
      <c r="N78" s="3">
        <f>+IF(Tabla2[[#This Row],[valor_total]]="",Tabla2[[#This Row],[valor_individual]]*Tabla2[[#This Row],[unidad]],Tabla2[[#This Row],[valor_total]])</f>
        <v>47600</v>
      </c>
    </row>
    <row r="79" spans="1:14" x14ac:dyDescent="0.25">
      <c r="A79" s="3">
        <v>202507</v>
      </c>
      <c r="B79" s="3">
        <v>1</v>
      </c>
      <c r="C79" s="3" t="s">
        <v>24</v>
      </c>
      <c r="D79" s="3"/>
      <c r="E79" s="3">
        <v>2</v>
      </c>
      <c r="F79" s="3">
        <v>12</v>
      </c>
      <c r="G79" s="3"/>
      <c r="H79" s="3"/>
      <c r="I79" s="3"/>
      <c r="J79" s="3"/>
      <c r="K79" s="3"/>
      <c r="L79" s="3">
        <v>16300</v>
      </c>
      <c r="M79" s="3"/>
      <c r="N79" s="3">
        <f>+IF(Tabla2[[#This Row],[valor_total]]="",Tabla2[[#This Row],[valor_individual]]*Tabla2[[#This Row],[unidad]],Tabla2[[#This Row],[valor_total]])</f>
        <v>32600</v>
      </c>
    </row>
    <row r="80" spans="1:14" x14ac:dyDescent="0.25">
      <c r="A80" s="3">
        <v>202507</v>
      </c>
      <c r="B80" s="3">
        <v>1</v>
      </c>
      <c r="C80" s="3" t="s">
        <v>23</v>
      </c>
      <c r="D80" s="3"/>
      <c r="E80" s="3">
        <v>1</v>
      </c>
      <c r="F80" s="3"/>
      <c r="G80" s="3"/>
      <c r="H80" s="3"/>
      <c r="I80" s="3"/>
      <c r="J80" s="3">
        <v>1</v>
      </c>
      <c r="K80" s="3"/>
      <c r="L80" s="3">
        <v>11200</v>
      </c>
      <c r="M80" s="3"/>
      <c r="N80" s="3">
        <f>+IF(Tabla2[[#This Row],[valor_total]]="",Tabla2[[#This Row],[valor_individual]]*Tabla2[[#This Row],[unidad]],Tabla2[[#This Row],[valor_total]])</f>
        <v>11200</v>
      </c>
    </row>
    <row r="81" spans="1:14" x14ac:dyDescent="0.25">
      <c r="A81" s="3">
        <v>202507</v>
      </c>
      <c r="B81" s="3">
        <v>1</v>
      </c>
      <c r="C81" s="3" t="s">
        <v>38</v>
      </c>
      <c r="D81" s="3"/>
      <c r="E81" s="3">
        <v>1</v>
      </c>
      <c r="F81" s="3"/>
      <c r="G81" s="3"/>
      <c r="H81" s="3"/>
      <c r="I81" s="3"/>
      <c r="J81" s="3">
        <v>3.8</v>
      </c>
      <c r="K81" s="3"/>
      <c r="L81" s="3">
        <v>16200</v>
      </c>
      <c r="M81" s="3"/>
      <c r="N81" s="3">
        <f>+IF(Tabla2[[#This Row],[valor_total]]="",Tabla2[[#This Row],[valor_individual]]*Tabla2[[#This Row],[unidad]],Tabla2[[#This Row],[valor_total]])</f>
        <v>16200</v>
      </c>
    </row>
    <row r="82" spans="1:14" x14ac:dyDescent="0.25">
      <c r="A82" s="3">
        <v>202507</v>
      </c>
      <c r="B82" s="3">
        <v>1</v>
      </c>
      <c r="C82" s="3" t="s">
        <v>56</v>
      </c>
      <c r="D82" s="3"/>
      <c r="E82" s="3">
        <v>1</v>
      </c>
      <c r="F82" s="3"/>
      <c r="G82" s="3"/>
      <c r="H82" s="3"/>
      <c r="I82" s="3">
        <v>190</v>
      </c>
      <c r="J82" s="3"/>
      <c r="K82" s="3"/>
      <c r="L82" s="3">
        <v>6600</v>
      </c>
      <c r="M82" s="3"/>
      <c r="N82" s="3">
        <f>+IF(Tabla2[[#This Row],[valor_total]]="",Tabla2[[#This Row],[valor_individual]]*Tabla2[[#This Row],[unidad]],Tabla2[[#This Row],[valor_total]])</f>
        <v>6600</v>
      </c>
    </row>
    <row r="83" spans="1:14" x14ac:dyDescent="0.25">
      <c r="A83" s="3">
        <v>202507</v>
      </c>
      <c r="B83" s="3">
        <v>1</v>
      </c>
      <c r="C83" s="3" t="s">
        <v>57</v>
      </c>
      <c r="D83" s="3"/>
      <c r="E83" s="3">
        <v>1</v>
      </c>
      <c r="F83" s="3"/>
      <c r="G83" s="3"/>
      <c r="H83" s="3"/>
      <c r="I83" s="3">
        <v>500</v>
      </c>
      <c r="J83" s="3"/>
      <c r="K83" s="3"/>
      <c r="L83" s="3">
        <v>5600</v>
      </c>
      <c r="M83" s="3"/>
      <c r="N83" s="3">
        <f>+IF(Tabla2[[#This Row],[valor_total]]="",Tabla2[[#This Row],[valor_individual]]*Tabla2[[#This Row],[unidad]],Tabla2[[#This Row],[valor_total]])</f>
        <v>5600</v>
      </c>
    </row>
    <row r="84" spans="1:14" x14ac:dyDescent="0.25">
      <c r="A84" s="3">
        <v>202507</v>
      </c>
      <c r="B84" s="3">
        <v>1</v>
      </c>
      <c r="C84" s="3" t="s">
        <v>58</v>
      </c>
      <c r="D84" s="3"/>
      <c r="E84" s="3">
        <v>1</v>
      </c>
      <c r="F84" s="3"/>
      <c r="G84" s="3"/>
      <c r="H84" s="3"/>
      <c r="I84" s="3"/>
      <c r="J84" s="3"/>
      <c r="K84" s="3"/>
      <c r="L84" s="3">
        <v>2400</v>
      </c>
      <c r="M84" s="3"/>
      <c r="N84" s="3">
        <f>+IF(Tabla2[[#This Row],[valor_total]]="",Tabla2[[#This Row],[valor_individual]]*Tabla2[[#This Row],[unidad]],Tabla2[[#This Row],[valor_total]])</f>
        <v>2400</v>
      </c>
    </row>
    <row r="85" spans="1:14" x14ac:dyDescent="0.25">
      <c r="A85" s="3">
        <v>202507</v>
      </c>
      <c r="B85" s="3">
        <v>1</v>
      </c>
      <c r="C85" s="3" t="s">
        <v>59</v>
      </c>
      <c r="D85" s="3"/>
      <c r="E85" s="3">
        <v>1</v>
      </c>
      <c r="F85" s="3">
        <v>3</v>
      </c>
      <c r="G85" s="3"/>
      <c r="H85" s="3"/>
      <c r="I85" s="3"/>
      <c r="J85" s="3"/>
      <c r="K85" s="3"/>
      <c r="L85" s="3">
        <v>18600</v>
      </c>
      <c r="M85" s="3"/>
      <c r="N85" s="3">
        <f>+IF(Tabla2[[#This Row],[valor_total]]="",Tabla2[[#This Row],[valor_individual]]*Tabla2[[#This Row],[unidad]],Tabla2[[#This Row],[valor_total]])</f>
        <v>18600</v>
      </c>
    </row>
    <row r="86" spans="1:14" x14ac:dyDescent="0.25">
      <c r="A86" s="3">
        <v>202507</v>
      </c>
      <c r="B86" s="3">
        <v>1</v>
      </c>
      <c r="C86" s="3" t="s">
        <v>36</v>
      </c>
      <c r="D86" s="3"/>
      <c r="E86" s="3">
        <v>1</v>
      </c>
      <c r="F86" s="3"/>
      <c r="G86" s="3"/>
      <c r="H86" s="3"/>
      <c r="I86" s="3"/>
      <c r="J86" s="3"/>
      <c r="K86" s="3"/>
      <c r="L86" s="3">
        <v>11900</v>
      </c>
      <c r="M86" s="3"/>
      <c r="N86" s="3">
        <f>+IF(Tabla2[[#This Row],[valor_total]]="",Tabla2[[#This Row],[valor_individual]]*Tabla2[[#This Row],[unidad]],Tabla2[[#This Row],[valor_total]])</f>
        <v>11900</v>
      </c>
    </row>
    <row r="87" spans="1:14" x14ac:dyDescent="0.25">
      <c r="A87" s="3">
        <v>202508</v>
      </c>
      <c r="B87" s="3">
        <v>15</v>
      </c>
      <c r="C87" s="3" t="s">
        <v>9</v>
      </c>
      <c r="D87" s="3"/>
      <c r="E87" s="3">
        <v>1</v>
      </c>
      <c r="F87" s="3">
        <v>6</v>
      </c>
      <c r="G87" s="3"/>
      <c r="H87" s="3"/>
      <c r="I87" s="3"/>
      <c r="J87" s="3"/>
      <c r="K87" s="3"/>
      <c r="L87" s="3">
        <v>35900</v>
      </c>
      <c r="M87" s="3"/>
      <c r="N87" s="3">
        <f>+IF(Tabla2[[#This Row],[valor_total]]="",Tabla2[[#This Row],[valor_individual]]*Tabla2[[#This Row],[unidad]],Tabla2[[#This Row],[valor_total]])</f>
        <v>35900</v>
      </c>
    </row>
    <row r="88" spans="1:14" x14ac:dyDescent="0.25">
      <c r="A88" s="3">
        <v>202508</v>
      </c>
      <c r="B88" s="3">
        <v>15</v>
      </c>
      <c r="C88" s="3" t="s">
        <v>10</v>
      </c>
      <c r="D88" s="3"/>
      <c r="E88" s="3">
        <v>3</v>
      </c>
      <c r="F88" s="3">
        <v>30</v>
      </c>
      <c r="G88" s="3"/>
      <c r="H88" s="3"/>
      <c r="I88" s="3"/>
      <c r="J88" s="3"/>
      <c r="K88" s="3"/>
      <c r="L88" s="3">
        <v>13400</v>
      </c>
      <c r="M88" s="3"/>
      <c r="N88" s="3">
        <f>+IF(Tabla2[[#This Row],[valor_total]]="",Tabla2[[#This Row],[valor_individual]]*Tabla2[[#This Row],[unidad]],Tabla2[[#This Row],[valor_total]])</f>
        <v>40200</v>
      </c>
    </row>
    <row r="89" spans="1:14" x14ac:dyDescent="0.25">
      <c r="A89" s="3">
        <v>202508</v>
      </c>
      <c r="B89" s="3">
        <v>15</v>
      </c>
      <c r="C89" s="3" t="s">
        <v>11</v>
      </c>
      <c r="D89" s="3"/>
      <c r="E89" s="3">
        <v>1</v>
      </c>
      <c r="F89" s="3"/>
      <c r="G89" s="3"/>
      <c r="H89" s="3"/>
      <c r="I89" s="3">
        <v>500</v>
      </c>
      <c r="J89" s="3"/>
      <c r="K89" s="3"/>
      <c r="L89" s="3">
        <v>8400</v>
      </c>
      <c r="M89" s="3"/>
      <c r="N89" s="3">
        <f>+IF(Tabla2[[#This Row],[valor_total]]="",Tabla2[[#This Row],[valor_individual]]*Tabla2[[#This Row],[unidad]],Tabla2[[#This Row],[valor_total]])</f>
        <v>8400</v>
      </c>
    </row>
    <row r="90" spans="1:14" x14ac:dyDescent="0.25">
      <c r="A90" s="3">
        <v>202508</v>
      </c>
      <c r="B90" s="3">
        <v>15</v>
      </c>
      <c r="C90" s="3" t="s">
        <v>19</v>
      </c>
      <c r="D90" s="3"/>
      <c r="E90" s="3">
        <v>1</v>
      </c>
      <c r="F90" s="3"/>
      <c r="G90" s="3"/>
      <c r="H90" s="3"/>
      <c r="I90" s="3"/>
      <c r="J90" s="3"/>
      <c r="K90" s="3"/>
      <c r="L90" s="3">
        <v>7400</v>
      </c>
      <c r="M90" s="3"/>
      <c r="N90" s="3">
        <f>+IF(Tabla2[[#This Row],[valor_total]]="",Tabla2[[#This Row],[valor_individual]]*Tabla2[[#This Row],[unidad]],Tabla2[[#This Row],[valor_total]])</f>
        <v>7400</v>
      </c>
    </row>
    <row r="91" spans="1:14" x14ac:dyDescent="0.25">
      <c r="A91" s="3">
        <v>202508</v>
      </c>
      <c r="B91" s="3">
        <v>15</v>
      </c>
      <c r="C91" s="3" t="s">
        <v>35</v>
      </c>
      <c r="D91" s="3"/>
      <c r="E91" s="3">
        <v>1</v>
      </c>
      <c r="F91" s="3"/>
      <c r="G91" s="3"/>
      <c r="H91" s="3"/>
      <c r="I91" s="3">
        <v>500</v>
      </c>
      <c r="J91" s="3"/>
      <c r="K91" s="3"/>
      <c r="L91" s="3">
        <v>3300</v>
      </c>
      <c r="M91" s="3"/>
      <c r="N91" s="3">
        <f>+IF(Tabla2[[#This Row],[valor_total]]="",Tabla2[[#This Row],[valor_individual]]*Tabla2[[#This Row],[unidad]],Tabla2[[#This Row],[valor_total]])</f>
        <v>3300</v>
      </c>
    </row>
    <row r="92" spans="1:14" x14ac:dyDescent="0.25">
      <c r="A92" s="3">
        <v>202508</v>
      </c>
      <c r="B92" s="3">
        <v>15</v>
      </c>
      <c r="C92" s="3" t="s">
        <v>45</v>
      </c>
      <c r="D92" s="3"/>
      <c r="E92" s="3">
        <v>1</v>
      </c>
      <c r="F92" s="3"/>
      <c r="G92" s="3"/>
      <c r="H92" s="3"/>
      <c r="I92" s="3">
        <v>1000</v>
      </c>
      <c r="J92" s="3"/>
      <c r="K92" s="3"/>
      <c r="L92" s="3">
        <v>7400</v>
      </c>
      <c r="M92" s="3"/>
      <c r="N92" s="3">
        <f>+IF(Tabla2[[#This Row],[valor_total]]="",Tabla2[[#This Row],[valor_individual]]*Tabla2[[#This Row],[unidad]],Tabla2[[#This Row],[valor_total]])</f>
        <v>7400</v>
      </c>
    </row>
    <row r="93" spans="1:14" x14ac:dyDescent="0.25">
      <c r="A93" s="3">
        <v>202508</v>
      </c>
      <c r="B93" s="3">
        <v>15</v>
      </c>
      <c r="C93" s="3" t="s">
        <v>57</v>
      </c>
      <c r="D93" s="3"/>
      <c r="E93" s="3">
        <v>1</v>
      </c>
      <c r="F93" s="3"/>
      <c r="G93" s="3"/>
      <c r="H93" s="3"/>
      <c r="I93" s="3">
        <v>500</v>
      </c>
      <c r="J93" s="3"/>
      <c r="K93" s="3"/>
      <c r="L93" s="3">
        <v>3300</v>
      </c>
      <c r="M93" s="3"/>
      <c r="N93" s="3">
        <f>+IF(Tabla2[[#This Row],[valor_total]]="",Tabla2[[#This Row],[valor_individual]]*Tabla2[[#This Row],[unidad]],Tabla2[[#This Row],[valor_total]])</f>
        <v>3300</v>
      </c>
    </row>
    <row r="94" spans="1:14" x14ac:dyDescent="0.25">
      <c r="A94" s="3">
        <v>202508</v>
      </c>
      <c r="B94" s="3">
        <v>15</v>
      </c>
      <c r="C94" s="3" t="s">
        <v>17</v>
      </c>
      <c r="D94" s="3"/>
      <c r="E94" s="3">
        <v>1</v>
      </c>
      <c r="F94" s="3"/>
      <c r="G94" s="3"/>
      <c r="H94" s="3"/>
      <c r="I94" s="3">
        <v>425</v>
      </c>
      <c r="J94" s="3"/>
      <c r="K94" s="3"/>
      <c r="L94" s="3">
        <v>24900</v>
      </c>
      <c r="M94" s="3"/>
      <c r="N94" s="3">
        <f>+IF(Tabla2[[#This Row],[valor_total]]="",Tabla2[[#This Row],[valor_individual]]*Tabla2[[#This Row],[unidad]],Tabla2[[#This Row],[valor_total]])</f>
        <v>24900</v>
      </c>
    </row>
    <row r="95" spans="1:14" x14ac:dyDescent="0.25">
      <c r="A95" s="3">
        <v>202508</v>
      </c>
      <c r="B95" s="3">
        <v>15</v>
      </c>
      <c r="C95" s="3" t="s">
        <v>18</v>
      </c>
      <c r="D95" s="3"/>
      <c r="E95" s="3">
        <v>1</v>
      </c>
      <c r="F95" s="3"/>
      <c r="G95" s="3"/>
      <c r="H95" s="3"/>
      <c r="I95" s="3">
        <v>85</v>
      </c>
      <c r="J95" s="3"/>
      <c r="K95" s="3"/>
      <c r="L95" s="3">
        <v>19100</v>
      </c>
      <c r="M95" s="3"/>
      <c r="N95" s="3">
        <f>+IF(Tabla2[[#This Row],[valor_total]]="",Tabla2[[#This Row],[valor_individual]]*Tabla2[[#This Row],[unidad]],Tabla2[[#This Row],[valor_total]])</f>
        <v>19100</v>
      </c>
    </row>
    <row r="96" spans="1:14" x14ac:dyDescent="0.25">
      <c r="A96" s="3">
        <v>202508</v>
      </c>
      <c r="B96" s="3">
        <v>15</v>
      </c>
      <c r="C96" s="3" t="s">
        <v>13</v>
      </c>
      <c r="D96" s="3"/>
      <c r="E96" s="3">
        <v>1</v>
      </c>
      <c r="F96" s="3"/>
      <c r="G96" s="3"/>
      <c r="H96" s="3">
        <v>5</v>
      </c>
      <c r="I96" s="3"/>
      <c r="J96" s="3"/>
      <c r="K96" s="3"/>
      <c r="L96" s="3">
        <v>22000</v>
      </c>
      <c r="M96" s="3"/>
      <c r="N96" s="3">
        <f>+IF(Tabla2[[#This Row],[valor_total]]="",Tabla2[[#This Row],[valor_individual]]*Tabla2[[#This Row],[unidad]],Tabla2[[#This Row],[valor_total]])</f>
        <v>22000</v>
      </c>
    </row>
    <row r="97" spans="1:14" x14ac:dyDescent="0.25">
      <c r="A97" s="3">
        <v>202508</v>
      </c>
      <c r="B97" s="3">
        <v>15</v>
      </c>
      <c r="C97" s="3" t="s">
        <v>12</v>
      </c>
      <c r="D97" s="3"/>
      <c r="E97" s="3">
        <v>1</v>
      </c>
      <c r="F97" s="3"/>
      <c r="G97" s="3"/>
      <c r="H97" s="3"/>
      <c r="I97" s="3"/>
      <c r="J97" s="3"/>
      <c r="K97" s="3">
        <v>1800</v>
      </c>
      <c r="L97" s="3">
        <v>33600</v>
      </c>
      <c r="M97" s="3"/>
      <c r="N97" s="3">
        <f>+IF(Tabla2[[#This Row],[valor_total]]="",Tabla2[[#This Row],[valor_individual]]*Tabla2[[#This Row],[unidad]],Tabla2[[#This Row],[valor_total]])</f>
        <v>33600</v>
      </c>
    </row>
    <row r="98" spans="1:14" x14ac:dyDescent="0.25">
      <c r="A98" s="3">
        <v>202508</v>
      </c>
      <c r="B98" s="3">
        <v>15</v>
      </c>
      <c r="C98" s="3" t="s">
        <v>67</v>
      </c>
      <c r="D98" s="3"/>
      <c r="E98" s="3">
        <v>1</v>
      </c>
      <c r="F98" s="3"/>
      <c r="G98" s="3"/>
      <c r="H98" s="3">
        <v>2.5</v>
      </c>
      <c r="I98" s="3"/>
      <c r="J98" s="3"/>
      <c r="K98" s="3"/>
      <c r="L98" s="3">
        <v>12000</v>
      </c>
      <c r="M98" s="3"/>
      <c r="N98" s="3">
        <f>+IF(Tabla2[[#This Row],[valor_total]]="",Tabla2[[#This Row],[valor_individual]]*Tabla2[[#This Row],[unidad]],Tabla2[[#This Row],[valor_total]])</f>
        <v>12000</v>
      </c>
    </row>
    <row r="99" spans="1:14" x14ac:dyDescent="0.25">
      <c r="A99" s="3">
        <v>202508</v>
      </c>
      <c r="B99" s="3">
        <v>15</v>
      </c>
      <c r="C99" s="3" t="s">
        <v>66</v>
      </c>
      <c r="D99" s="3"/>
      <c r="E99" s="3">
        <v>2</v>
      </c>
      <c r="F99" s="3"/>
      <c r="G99" s="3"/>
      <c r="H99" s="3"/>
      <c r="I99" s="3">
        <v>250</v>
      </c>
      <c r="J99" s="3"/>
      <c r="K99" s="3"/>
      <c r="L99" s="3">
        <v>2200</v>
      </c>
      <c r="M99" s="3"/>
      <c r="N99" s="3">
        <f>+IF(Tabla2[[#This Row],[valor_total]]="",Tabla2[[#This Row],[valor_individual]]*Tabla2[[#This Row],[unidad]],Tabla2[[#This Row],[valor_total]])</f>
        <v>4400</v>
      </c>
    </row>
    <row r="100" spans="1:14" x14ac:dyDescent="0.25">
      <c r="A100" s="3">
        <v>202508</v>
      </c>
      <c r="B100" s="3">
        <v>15</v>
      </c>
      <c r="C100" s="3" t="s">
        <v>21</v>
      </c>
      <c r="D100" s="3"/>
      <c r="E100" s="3">
        <v>1</v>
      </c>
      <c r="F100" s="3"/>
      <c r="G100" s="3"/>
      <c r="H100" s="3">
        <v>1</v>
      </c>
      <c r="I100" s="3"/>
      <c r="J100" s="3"/>
      <c r="K100" s="3"/>
      <c r="L100" s="3">
        <v>4400</v>
      </c>
      <c r="M100" s="3"/>
      <c r="N100" s="3">
        <f>+IF(Tabla2[[#This Row],[valor_total]]="",Tabla2[[#This Row],[valor_individual]]*Tabla2[[#This Row],[unidad]],Tabla2[[#This Row],[valor_total]])</f>
        <v>4400</v>
      </c>
    </row>
    <row r="101" spans="1:14" x14ac:dyDescent="0.25">
      <c r="A101" s="3">
        <v>202508</v>
      </c>
      <c r="B101" s="3">
        <v>15</v>
      </c>
      <c r="C101" s="3" t="s">
        <v>34</v>
      </c>
      <c r="D101" s="3"/>
      <c r="E101" s="3">
        <v>2</v>
      </c>
      <c r="F101" s="3"/>
      <c r="G101" s="3"/>
      <c r="H101" s="3">
        <v>1</v>
      </c>
      <c r="I101" s="3"/>
      <c r="J101" s="3"/>
      <c r="K101" s="3"/>
      <c r="L101" s="3">
        <v>3400</v>
      </c>
      <c r="M101" s="3"/>
      <c r="N101" s="3">
        <f>+IF(Tabla2[[#This Row],[valor_total]]="",Tabla2[[#This Row],[valor_individual]]*Tabla2[[#This Row],[unidad]],Tabla2[[#This Row],[valor_total]])</f>
        <v>6800</v>
      </c>
    </row>
    <row r="102" spans="1:14" x14ac:dyDescent="0.25">
      <c r="A102" s="3">
        <v>202508</v>
      </c>
      <c r="B102" s="3">
        <v>15</v>
      </c>
      <c r="C102" s="3" t="s">
        <v>37</v>
      </c>
      <c r="D102" s="3"/>
      <c r="E102" s="3">
        <v>1</v>
      </c>
      <c r="F102" s="3"/>
      <c r="G102" s="3"/>
      <c r="H102" s="3">
        <v>5</v>
      </c>
      <c r="I102" s="3"/>
      <c r="J102" s="3"/>
      <c r="K102" s="3"/>
      <c r="L102" s="3">
        <v>49500</v>
      </c>
      <c r="M102" s="3"/>
      <c r="N102" s="3">
        <f>+IF(Tabla2[[#This Row],[valor_total]]="",Tabla2[[#This Row],[valor_individual]]*Tabla2[[#This Row],[unidad]],Tabla2[[#This Row],[valor_total]])</f>
        <v>49500</v>
      </c>
    </row>
    <row r="103" spans="1:14" x14ac:dyDescent="0.25">
      <c r="A103" s="3">
        <v>202508</v>
      </c>
      <c r="B103" s="3">
        <v>15</v>
      </c>
      <c r="C103" s="3" t="s">
        <v>24</v>
      </c>
      <c r="D103" s="3"/>
      <c r="E103" s="3">
        <v>2</v>
      </c>
      <c r="F103" s="3">
        <v>12</v>
      </c>
      <c r="G103" s="3"/>
      <c r="H103" s="3"/>
      <c r="I103" s="3"/>
      <c r="J103" s="3"/>
      <c r="K103" s="3"/>
      <c r="L103" s="3">
        <v>16300</v>
      </c>
      <c r="M103" s="3"/>
      <c r="N103" s="3">
        <f>+IF(Tabla2[[#This Row],[valor_total]]="",Tabla2[[#This Row],[valor_individual]]*Tabla2[[#This Row],[unidad]],Tabla2[[#This Row],[valor_total]])</f>
        <v>32600</v>
      </c>
    </row>
    <row r="104" spans="1:14" x14ac:dyDescent="0.25">
      <c r="A104" s="3">
        <v>202508</v>
      </c>
      <c r="B104" s="3">
        <v>15</v>
      </c>
      <c r="C104" s="3" t="s">
        <v>22</v>
      </c>
      <c r="D104" s="3"/>
      <c r="E104" s="3">
        <v>1</v>
      </c>
      <c r="F104" s="3"/>
      <c r="G104" s="3"/>
      <c r="H104" s="3"/>
      <c r="I104" s="3"/>
      <c r="J104" s="3"/>
      <c r="K104" s="3">
        <v>360</v>
      </c>
      <c r="L104" s="3">
        <v>5300</v>
      </c>
      <c r="M104" s="3"/>
      <c r="N104" s="3">
        <f>+IF(Tabla2[[#This Row],[valor_total]]="",Tabla2[[#This Row],[valor_individual]]*Tabla2[[#This Row],[unidad]],Tabla2[[#This Row],[valor_total]])</f>
        <v>5300</v>
      </c>
    </row>
    <row r="105" spans="1:14" x14ac:dyDescent="0.25">
      <c r="A105" s="3">
        <v>202508</v>
      </c>
      <c r="B105" s="3">
        <v>15</v>
      </c>
      <c r="C105" s="3" t="s">
        <v>23</v>
      </c>
      <c r="D105" s="3"/>
      <c r="E105" s="3">
        <v>2</v>
      </c>
      <c r="F105" s="3"/>
      <c r="G105" s="3"/>
      <c r="H105" s="3"/>
      <c r="I105" s="3"/>
      <c r="J105" s="3"/>
      <c r="K105" s="3">
        <v>450</v>
      </c>
      <c r="L105" s="3">
        <v>5000</v>
      </c>
      <c r="M105" s="3"/>
      <c r="N105" s="3">
        <f>+IF(Tabla2[[#This Row],[valor_total]]="",Tabla2[[#This Row],[valor_individual]]*Tabla2[[#This Row],[unidad]],Tabla2[[#This Row],[valor_total]])</f>
        <v>10000</v>
      </c>
    </row>
    <row r="106" spans="1:14" x14ac:dyDescent="0.25">
      <c r="A106" s="3">
        <v>202508</v>
      </c>
      <c r="B106" s="3">
        <v>15</v>
      </c>
      <c r="C106" s="3" t="s">
        <v>69</v>
      </c>
      <c r="D106" s="3"/>
      <c r="E106" s="3">
        <v>1</v>
      </c>
      <c r="F106" s="3"/>
      <c r="G106" s="3"/>
      <c r="H106" s="3"/>
      <c r="I106" s="3">
        <v>500</v>
      </c>
      <c r="J106" s="3"/>
      <c r="K106" s="3"/>
      <c r="L106" s="3">
        <v>4100</v>
      </c>
      <c r="M106" s="3"/>
      <c r="N106" s="3">
        <f>+IF(Tabla2[[#This Row],[valor_total]]="",Tabla2[[#This Row],[valor_individual]]*Tabla2[[#This Row],[unidad]],Tabla2[[#This Row],[valor_total]])</f>
        <v>4100</v>
      </c>
    </row>
    <row r="107" spans="1:14" x14ac:dyDescent="0.25">
      <c r="A107" s="3">
        <v>202508</v>
      </c>
      <c r="B107" s="3">
        <v>15</v>
      </c>
      <c r="C107" s="3" t="s">
        <v>70</v>
      </c>
      <c r="D107" s="3"/>
      <c r="E107" s="3">
        <v>2</v>
      </c>
      <c r="F107" s="3"/>
      <c r="G107" s="3"/>
      <c r="H107" s="3"/>
      <c r="I107" s="3">
        <v>50</v>
      </c>
      <c r="J107" s="3"/>
      <c r="K107" s="3"/>
      <c r="L107" s="3">
        <v>4500</v>
      </c>
      <c r="M107" s="3"/>
      <c r="N107" s="3">
        <f>+IF(Tabla2[[#This Row],[valor_total]]="",Tabla2[[#This Row],[valor_individual]]*Tabla2[[#This Row],[unidad]],Tabla2[[#This Row],[valor_total]])</f>
        <v>9000</v>
      </c>
    </row>
    <row r="108" spans="1:14" x14ac:dyDescent="0.25">
      <c r="A108" s="3">
        <v>202508</v>
      </c>
      <c r="B108" s="3">
        <v>15</v>
      </c>
      <c r="C108" s="3" t="s">
        <v>71</v>
      </c>
      <c r="D108" s="3"/>
      <c r="E108" s="3">
        <v>1</v>
      </c>
      <c r="F108" s="3"/>
      <c r="G108" s="3"/>
      <c r="H108" s="3"/>
      <c r="I108" s="3">
        <v>250</v>
      </c>
      <c r="J108" s="3"/>
      <c r="K108" s="3"/>
      <c r="L108" s="3">
        <v>3000</v>
      </c>
      <c r="M108" s="3"/>
      <c r="N108" s="3">
        <f>+IF(Tabla2[[#This Row],[valor_total]]="",Tabla2[[#This Row],[valor_individual]]*Tabla2[[#This Row],[unidad]],Tabla2[[#This Row],[valor_total]])</f>
        <v>3000</v>
      </c>
    </row>
    <row r="109" spans="1:14" x14ac:dyDescent="0.25">
      <c r="A109" s="3">
        <v>202510</v>
      </c>
      <c r="B109" s="3">
        <v>15</v>
      </c>
      <c r="C109" s="3" t="s">
        <v>13</v>
      </c>
      <c r="D109" s="3"/>
      <c r="E109" s="3">
        <v>1</v>
      </c>
      <c r="F109" s="3"/>
      <c r="G109" s="3"/>
      <c r="H109" s="3">
        <v>5</v>
      </c>
      <c r="I109" s="3"/>
      <c r="J109" s="3"/>
      <c r="K109" s="3"/>
      <c r="L109" s="3">
        <v>22000</v>
      </c>
      <c r="M109" s="3"/>
      <c r="N109" s="3">
        <f>+IF(Tabla2[[#This Row],[valor_total]]="",Tabla2[[#This Row],[valor_individual]]*Tabla2[[#This Row],[unidad]],Tabla2[[#This Row],[valor_total]])</f>
        <v>22000</v>
      </c>
    </row>
    <row r="110" spans="1:14" x14ac:dyDescent="0.25">
      <c r="A110" s="3">
        <v>202510</v>
      </c>
      <c r="B110" s="3">
        <v>15</v>
      </c>
      <c r="C110" s="3" t="s">
        <v>67</v>
      </c>
      <c r="D110" s="3"/>
      <c r="E110" s="3">
        <v>1</v>
      </c>
      <c r="F110" s="3"/>
      <c r="G110" s="3"/>
      <c r="H110" s="3" t="s">
        <v>77</v>
      </c>
      <c r="I110" s="3"/>
      <c r="J110" s="3"/>
      <c r="K110" s="3"/>
      <c r="L110" s="3">
        <v>12000</v>
      </c>
      <c r="M110" s="3"/>
      <c r="N110" s="3">
        <f>+IF(Tabla2[[#This Row],[valor_total]]="",Tabla2[[#This Row],[valor_individual]]*Tabla2[[#This Row],[unidad]],Tabla2[[#This Row],[valor_total]])</f>
        <v>12000</v>
      </c>
    </row>
    <row r="111" spans="1:14" x14ac:dyDescent="0.25">
      <c r="A111" s="3">
        <v>202510</v>
      </c>
      <c r="B111" s="3">
        <v>15</v>
      </c>
      <c r="C111" s="3" t="s">
        <v>18</v>
      </c>
      <c r="D111" s="3"/>
      <c r="E111" s="3">
        <v>1</v>
      </c>
      <c r="F111" s="3"/>
      <c r="G111" s="3"/>
      <c r="H111" s="3"/>
      <c r="I111" s="3">
        <v>85</v>
      </c>
      <c r="J111" s="3"/>
      <c r="K111" s="3"/>
      <c r="L111" s="3">
        <v>19100</v>
      </c>
      <c r="M111" s="3"/>
      <c r="N111" s="3">
        <f>+IF(Tabla2[[#This Row],[valor_total]]="",Tabla2[[#This Row],[valor_individual]]*Tabla2[[#This Row],[unidad]],Tabla2[[#This Row],[valor_total]])</f>
        <v>19100</v>
      </c>
    </row>
    <row r="112" spans="1:14" x14ac:dyDescent="0.25">
      <c r="A112" s="3">
        <v>202510</v>
      </c>
      <c r="B112" s="3">
        <v>15</v>
      </c>
      <c r="C112" s="3" t="s">
        <v>17</v>
      </c>
      <c r="D112" s="3"/>
      <c r="E112" s="3">
        <v>1</v>
      </c>
      <c r="F112" s="3"/>
      <c r="G112" s="3"/>
      <c r="H112" s="3"/>
      <c r="I112" s="3">
        <v>425</v>
      </c>
      <c r="J112" s="3"/>
      <c r="K112" s="3"/>
      <c r="L112" s="3">
        <v>24900</v>
      </c>
      <c r="M112" s="3"/>
      <c r="N112" s="3">
        <f>+IF(Tabla2[[#This Row],[valor_total]]="",Tabla2[[#This Row],[valor_individual]]*Tabla2[[#This Row],[unidad]],Tabla2[[#This Row],[valor_total]])</f>
        <v>24900</v>
      </c>
    </row>
    <row r="113" spans="1:14" x14ac:dyDescent="0.25">
      <c r="A113" s="3">
        <v>202510</v>
      </c>
      <c r="B113" s="3">
        <v>15</v>
      </c>
      <c r="C113" s="3" t="s">
        <v>35</v>
      </c>
      <c r="D113" s="3"/>
      <c r="E113" s="3">
        <v>2</v>
      </c>
      <c r="F113" s="3"/>
      <c r="G113" s="3"/>
      <c r="H113" s="3"/>
      <c r="I113" s="3">
        <v>500</v>
      </c>
      <c r="J113" s="3"/>
      <c r="K113" s="3"/>
      <c r="L113" s="3">
        <v>4800</v>
      </c>
      <c r="M113" s="3"/>
      <c r="N113" s="3">
        <f>+IF(Tabla2[[#This Row],[valor_total]]="",Tabla2[[#This Row],[valor_individual]]*Tabla2[[#This Row],[unidad]],Tabla2[[#This Row],[valor_total]])</f>
        <v>9600</v>
      </c>
    </row>
    <row r="114" spans="1:14" x14ac:dyDescent="0.25">
      <c r="A114" s="3">
        <v>202510</v>
      </c>
      <c r="B114" s="3">
        <v>15</v>
      </c>
      <c r="C114" s="3" t="s">
        <v>57</v>
      </c>
      <c r="D114" s="3"/>
      <c r="E114" s="3">
        <v>2</v>
      </c>
      <c r="F114" s="3"/>
      <c r="G114" s="3"/>
      <c r="H114" s="3"/>
      <c r="I114" s="3">
        <v>500</v>
      </c>
      <c r="J114" s="3"/>
      <c r="K114" s="3"/>
      <c r="L114" s="3">
        <v>3200</v>
      </c>
      <c r="M114" s="3"/>
      <c r="N114" s="3">
        <f>+IF(Tabla2[[#This Row],[valor_total]]="",Tabla2[[#This Row],[valor_individual]]*Tabla2[[#This Row],[unidad]],Tabla2[[#This Row],[valor_total]])</f>
        <v>6400</v>
      </c>
    </row>
    <row r="115" spans="1:14" x14ac:dyDescent="0.25">
      <c r="A115" s="3">
        <v>202510</v>
      </c>
      <c r="B115" s="3">
        <v>15</v>
      </c>
      <c r="C115" s="3" t="s">
        <v>10</v>
      </c>
      <c r="D115" s="3"/>
      <c r="E115" s="3">
        <v>3</v>
      </c>
      <c r="F115" s="3">
        <v>30</v>
      </c>
      <c r="G115" s="3"/>
      <c r="H115" s="3"/>
      <c r="I115" s="3"/>
      <c r="J115" s="3"/>
      <c r="K115" s="3"/>
      <c r="L115" s="3">
        <v>13400</v>
      </c>
      <c r="M115" s="3"/>
      <c r="N115" s="3">
        <f>+IF(Tabla2[[#This Row],[valor_total]]="",Tabla2[[#This Row],[valor_individual]]*Tabla2[[#This Row],[unidad]],Tabla2[[#This Row],[valor_total]])</f>
        <v>40200</v>
      </c>
    </row>
    <row r="116" spans="1:14" x14ac:dyDescent="0.25">
      <c r="A116" s="3">
        <v>202510</v>
      </c>
      <c r="B116" s="3">
        <v>15</v>
      </c>
      <c r="C116" s="3" t="s">
        <v>37</v>
      </c>
      <c r="D116" s="3"/>
      <c r="E116" s="3">
        <v>1</v>
      </c>
      <c r="F116" s="3"/>
      <c r="G116" s="3"/>
      <c r="H116" s="3">
        <v>5</v>
      </c>
      <c r="I116" s="3"/>
      <c r="J116" s="3"/>
      <c r="K116" s="3"/>
      <c r="L116" s="3">
        <v>49500</v>
      </c>
      <c r="M116" s="3"/>
      <c r="N116" s="3">
        <f>+IF(Tabla2[[#This Row],[valor_total]]="",Tabla2[[#This Row],[valor_individual]]*Tabla2[[#This Row],[unidad]],Tabla2[[#This Row],[valor_total]])</f>
        <v>49500</v>
      </c>
    </row>
    <row r="117" spans="1:14" x14ac:dyDescent="0.25">
      <c r="A117" s="3">
        <v>202510</v>
      </c>
      <c r="B117" s="3">
        <v>15</v>
      </c>
      <c r="C117" s="3" t="s">
        <v>9</v>
      </c>
      <c r="D117" s="3"/>
      <c r="E117" s="3">
        <v>1</v>
      </c>
      <c r="F117" s="3">
        <v>6</v>
      </c>
      <c r="G117" s="3"/>
      <c r="H117" s="3"/>
      <c r="I117" s="3"/>
      <c r="J117" s="3"/>
      <c r="K117" s="3">
        <v>1600</v>
      </c>
      <c r="L117" s="3">
        <v>35900</v>
      </c>
      <c r="M117" s="3"/>
      <c r="N117" s="3">
        <f>+IF(Tabla2[[#This Row],[valor_total]]="",Tabla2[[#This Row],[valor_individual]]*Tabla2[[#This Row],[unidad]],Tabla2[[#This Row],[valor_total]])</f>
        <v>35900</v>
      </c>
    </row>
    <row r="118" spans="1:14" x14ac:dyDescent="0.25">
      <c r="A118" s="3">
        <v>202510</v>
      </c>
      <c r="B118" s="3">
        <v>15</v>
      </c>
      <c r="C118" s="3" t="s">
        <v>45</v>
      </c>
      <c r="D118" s="3"/>
      <c r="E118" s="3">
        <v>1</v>
      </c>
      <c r="F118" s="3"/>
      <c r="G118" s="3"/>
      <c r="H118" s="3"/>
      <c r="I118" s="3">
        <v>1000</v>
      </c>
      <c r="J118" s="3"/>
      <c r="K118" s="3"/>
      <c r="L118" s="3">
        <v>6800</v>
      </c>
      <c r="M118" s="3"/>
      <c r="N118" s="3">
        <f>+IF(Tabla2[[#This Row],[valor_total]]="",Tabla2[[#This Row],[valor_individual]]*Tabla2[[#This Row],[unidad]],Tabla2[[#This Row],[valor_total]])</f>
        <v>6800</v>
      </c>
    </row>
    <row r="119" spans="1:14" x14ac:dyDescent="0.25">
      <c r="A119" s="3">
        <v>202510</v>
      </c>
      <c r="B119" s="3">
        <v>15</v>
      </c>
      <c r="C119" s="3" t="s">
        <v>19</v>
      </c>
      <c r="D119" s="3"/>
      <c r="E119" s="3">
        <v>1</v>
      </c>
      <c r="F119" s="3"/>
      <c r="G119" s="3"/>
      <c r="H119" s="3"/>
      <c r="I119" s="3">
        <v>900</v>
      </c>
      <c r="J119" s="3"/>
      <c r="K119" s="3"/>
      <c r="L119" s="3">
        <v>7000</v>
      </c>
      <c r="M119" s="3"/>
      <c r="N119" s="3">
        <f>+IF(Tabla2[[#This Row],[valor_total]]="",Tabla2[[#This Row],[valor_individual]]*Tabla2[[#This Row],[unidad]],Tabla2[[#This Row],[valor_total]])</f>
        <v>7000</v>
      </c>
    </row>
    <row r="120" spans="1:14" x14ac:dyDescent="0.25">
      <c r="A120" s="3">
        <v>202510</v>
      </c>
      <c r="B120" s="3">
        <v>15</v>
      </c>
      <c r="C120" s="3" t="s">
        <v>24</v>
      </c>
      <c r="D120" s="3"/>
      <c r="E120" s="3">
        <v>2</v>
      </c>
      <c r="F120" s="3">
        <v>12</v>
      </c>
      <c r="G120" s="3"/>
      <c r="H120" s="3"/>
      <c r="I120" s="3"/>
      <c r="J120" s="3"/>
      <c r="K120" s="3"/>
      <c r="L120" s="3">
        <v>16300</v>
      </c>
      <c r="M120" s="3"/>
      <c r="N120" s="3">
        <f>+IF(Tabla2[[#This Row],[valor_total]]="",Tabla2[[#This Row],[valor_individual]]*Tabla2[[#This Row],[unidad]],Tabla2[[#This Row],[valor_total]])</f>
        <v>32600</v>
      </c>
    </row>
    <row r="121" spans="1:14" x14ac:dyDescent="0.25">
      <c r="A121" s="3">
        <v>202510</v>
      </c>
      <c r="B121" s="3">
        <v>15</v>
      </c>
      <c r="C121" s="3" t="s">
        <v>21</v>
      </c>
      <c r="D121" s="3"/>
      <c r="E121" s="3">
        <v>1</v>
      </c>
      <c r="F121" s="3"/>
      <c r="G121" s="3"/>
      <c r="H121" s="3">
        <v>1</v>
      </c>
      <c r="I121" s="3"/>
      <c r="J121" s="3"/>
      <c r="K121" s="3"/>
      <c r="L121" s="3">
        <v>4400</v>
      </c>
      <c r="M121" s="3"/>
      <c r="N121" s="3">
        <f>+IF(Tabla2[[#This Row],[valor_total]]="",Tabla2[[#This Row],[valor_individual]]*Tabla2[[#This Row],[unidad]],Tabla2[[#This Row],[valor_total]])</f>
        <v>4400</v>
      </c>
    </row>
    <row r="122" spans="1:14" x14ac:dyDescent="0.25">
      <c r="A122" s="3">
        <v>202510</v>
      </c>
      <c r="B122" s="3">
        <v>15</v>
      </c>
      <c r="C122" s="3" t="s">
        <v>34</v>
      </c>
      <c r="D122" s="3"/>
      <c r="E122" s="3">
        <v>1</v>
      </c>
      <c r="F122" s="3"/>
      <c r="G122" s="3"/>
      <c r="H122" s="3">
        <v>1</v>
      </c>
      <c r="I122" s="3"/>
      <c r="J122" s="3"/>
      <c r="K122" s="3"/>
      <c r="L122" s="3">
        <v>3800</v>
      </c>
      <c r="M122" s="3"/>
      <c r="N122" s="3">
        <f>+IF(Tabla2[[#This Row],[valor_total]]="",Tabla2[[#This Row],[valor_individual]]*Tabla2[[#This Row],[unidad]],Tabla2[[#This Row],[valor_total]])</f>
        <v>3800</v>
      </c>
    </row>
    <row r="123" spans="1:14" x14ac:dyDescent="0.25">
      <c r="A123" s="3">
        <v>202510</v>
      </c>
      <c r="B123" s="3">
        <v>15</v>
      </c>
      <c r="C123" s="3" t="s">
        <v>41</v>
      </c>
      <c r="D123" s="3"/>
      <c r="E123" s="3">
        <v>2</v>
      </c>
      <c r="F123" s="3"/>
      <c r="G123" s="3"/>
      <c r="H123" s="3"/>
      <c r="I123" s="3">
        <v>250</v>
      </c>
      <c r="J123" s="3"/>
      <c r="K123" s="3"/>
      <c r="L123" s="3">
        <v>2200</v>
      </c>
      <c r="M123" s="3"/>
      <c r="N123" s="3">
        <f>+IF(Tabla2[[#This Row],[valor_total]]="",Tabla2[[#This Row],[valor_individual]]*Tabla2[[#This Row],[unidad]],Tabla2[[#This Row],[valor_total]])</f>
        <v>4400</v>
      </c>
    </row>
    <row r="124" spans="1:14" x14ac:dyDescent="0.25">
      <c r="A124" s="3">
        <v>202510</v>
      </c>
      <c r="B124" s="3">
        <v>15</v>
      </c>
      <c r="C124" s="3" t="s">
        <v>12</v>
      </c>
      <c r="D124" s="3"/>
      <c r="E124" s="3">
        <v>1</v>
      </c>
      <c r="F124" s="3"/>
      <c r="G124" s="3"/>
      <c r="H124" s="3"/>
      <c r="I124" s="3"/>
      <c r="J124" s="3"/>
      <c r="K124" s="3">
        <v>900</v>
      </c>
      <c r="L124" s="3">
        <v>13900</v>
      </c>
      <c r="M124" s="3"/>
      <c r="N124" s="3">
        <f>+IF(Tabla2[[#This Row],[valor_total]]="",Tabla2[[#This Row],[valor_individual]]*Tabla2[[#This Row],[unidad]],Tabla2[[#This Row],[valor_total]])</f>
        <v>13900</v>
      </c>
    </row>
    <row r="125" spans="1:14" x14ac:dyDescent="0.25">
      <c r="A125" s="3">
        <v>202510</v>
      </c>
      <c r="B125" s="3">
        <v>15</v>
      </c>
      <c r="C125" s="3" t="s">
        <v>11</v>
      </c>
      <c r="D125" s="3"/>
      <c r="E125" s="3">
        <v>1</v>
      </c>
      <c r="F125" s="3"/>
      <c r="G125" s="3"/>
      <c r="H125" s="3"/>
      <c r="I125" s="3">
        <v>500</v>
      </c>
      <c r="J125" s="3"/>
      <c r="K125" s="3"/>
      <c r="L125" s="3">
        <v>8400</v>
      </c>
      <c r="M125" s="3"/>
      <c r="N125" s="3">
        <f>+IF(Tabla2[[#This Row],[valor_total]]="",Tabla2[[#This Row],[valor_individual]]*Tabla2[[#This Row],[unidad]],Tabla2[[#This Row],[valor_total]])</f>
        <v>8400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B319D1-EF07-4024-8A45-C618C4CEB22F}">
          <x14:formula1>
            <xm:f>atributtes!$B$2:$B$56</xm:f>
          </x14:formula1>
          <xm:sqref>C2:C125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E56F-E53D-49FE-B1D6-F2BF0690E668}">
  <dimension ref="A1:B56"/>
  <sheetViews>
    <sheetView showGridLines="0" zoomScale="90" zoomScaleNormal="9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5.28515625" bestFit="1" customWidth="1"/>
    <col min="2" max="2" width="20.7109375" bestFit="1" customWidth="1"/>
  </cols>
  <sheetData>
    <row r="1" spans="1:2" ht="15.75" thickBot="1" x14ac:dyDescent="0.3">
      <c r="A1" s="15" t="s">
        <v>79</v>
      </c>
      <c r="B1" s="1" t="s">
        <v>14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23</v>
      </c>
    </row>
    <row r="4" spans="1:2" x14ac:dyDescent="0.25">
      <c r="A4">
        <v>3</v>
      </c>
      <c r="B4" t="s">
        <v>13</v>
      </c>
    </row>
    <row r="5" spans="1:2" x14ac:dyDescent="0.25">
      <c r="A5">
        <v>4</v>
      </c>
      <c r="B5" t="s">
        <v>58</v>
      </c>
    </row>
    <row r="6" spans="1:2" x14ac:dyDescent="0.25">
      <c r="A6">
        <v>5</v>
      </c>
      <c r="B6" t="s">
        <v>67</v>
      </c>
    </row>
    <row r="7" spans="1:2" x14ac:dyDescent="0.25">
      <c r="A7">
        <v>6</v>
      </c>
      <c r="B7" t="s">
        <v>55</v>
      </c>
    </row>
    <row r="8" spans="1:2" x14ac:dyDescent="0.25">
      <c r="A8">
        <v>7</v>
      </c>
      <c r="B8" t="s">
        <v>39</v>
      </c>
    </row>
    <row r="9" spans="1:2" x14ac:dyDescent="0.25">
      <c r="A9">
        <v>8</v>
      </c>
      <c r="B9" t="s">
        <v>18</v>
      </c>
    </row>
    <row r="10" spans="1:2" x14ac:dyDescent="0.25">
      <c r="A10">
        <v>9</v>
      </c>
      <c r="B10" t="s">
        <v>17</v>
      </c>
    </row>
    <row r="11" spans="1:2" x14ac:dyDescent="0.25">
      <c r="A11">
        <v>10</v>
      </c>
      <c r="B11" t="s">
        <v>38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65</v>
      </c>
    </row>
    <row r="14" spans="1:2" x14ac:dyDescent="0.25">
      <c r="A14">
        <v>13</v>
      </c>
      <c r="B14" t="s">
        <v>69</v>
      </c>
    </row>
    <row r="15" spans="1:2" x14ac:dyDescent="0.25">
      <c r="A15">
        <v>14</v>
      </c>
      <c r="B15" t="s">
        <v>35</v>
      </c>
    </row>
    <row r="16" spans="1:2" x14ac:dyDescent="0.25">
      <c r="A16">
        <v>15</v>
      </c>
      <c r="B16" t="s">
        <v>54</v>
      </c>
    </row>
    <row r="17" spans="1:2" x14ac:dyDescent="0.25">
      <c r="A17">
        <v>16</v>
      </c>
      <c r="B17" t="s">
        <v>53</v>
      </c>
    </row>
    <row r="18" spans="1:2" x14ac:dyDescent="0.25">
      <c r="A18">
        <v>17</v>
      </c>
      <c r="B18" t="s">
        <v>52</v>
      </c>
    </row>
    <row r="19" spans="1:2" x14ac:dyDescent="0.25">
      <c r="A19">
        <v>18</v>
      </c>
      <c r="B19" t="s">
        <v>57</v>
      </c>
    </row>
    <row r="20" spans="1:2" x14ac:dyDescent="0.25">
      <c r="A20">
        <v>19</v>
      </c>
      <c r="B20" t="s">
        <v>42</v>
      </c>
    </row>
    <row r="21" spans="1:2" x14ac:dyDescent="0.25">
      <c r="A21">
        <v>20</v>
      </c>
      <c r="B21" t="s">
        <v>34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10</v>
      </c>
    </row>
    <row r="24" spans="1:2" x14ac:dyDescent="0.25">
      <c r="A24">
        <v>23</v>
      </c>
      <c r="B24" t="s">
        <v>37</v>
      </c>
    </row>
    <row r="25" spans="1:2" x14ac:dyDescent="0.25">
      <c r="A25">
        <v>24</v>
      </c>
      <c r="B25" t="s">
        <v>22</v>
      </c>
    </row>
    <row r="26" spans="1:2" x14ac:dyDescent="0.25">
      <c r="A26">
        <v>25</v>
      </c>
      <c r="B26" t="s">
        <v>71</v>
      </c>
    </row>
    <row r="27" spans="1:2" x14ac:dyDescent="0.25">
      <c r="A27">
        <v>26</v>
      </c>
      <c r="B27" t="s">
        <v>9</v>
      </c>
    </row>
    <row r="28" spans="1:2" x14ac:dyDescent="0.25">
      <c r="A28">
        <v>27</v>
      </c>
      <c r="B28" t="s">
        <v>45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11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44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19</v>
      </c>
    </row>
    <row r="35" spans="1:2" x14ac:dyDescent="0.25">
      <c r="A35">
        <v>34</v>
      </c>
      <c r="B35" t="s">
        <v>24</v>
      </c>
    </row>
    <row r="36" spans="1:2" x14ac:dyDescent="0.25">
      <c r="A36">
        <v>35</v>
      </c>
      <c r="B36" t="s">
        <v>41</v>
      </c>
    </row>
    <row r="37" spans="1:2" x14ac:dyDescent="0.25">
      <c r="A37">
        <v>36</v>
      </c>
      <c r="B37" t="s">
        <v>64</v>
      </c>
    </row>
    <row r="38" spans="1:2" x14ac:dyDescent="0.25">
      <c r="A38">
        <v>37</v>
      </c>
      <c r="B38" t="s">
        <v>66</v>
      </c>
    </row>
    <row r="39" spans="1:2" x14ac:dyDescent="0.25">
      <c r="A39">
        <v>38</v>
      </c>
      <c r="B39" t="s">
        <v>59</v>
      </c>
    </row>
    <row r="40" spans="1:2" x14ac:dyDescent="0.25">
      <c r="A40">
        <v>39</v>
      </c>
      <c r="B40" t="s">
        <v>43</v>
      </c>
    </row>
    <row r="41" spans="1:2" x14ac:dyDescent="0.25">
      <c r="A41">
        <v>40</v>
      </c>
      <c r="B41" t="s">
        <v>47</v>
      </c>
    </row>
    <row r="42" spans="1:2" x14ac:dyDescent="0.25">
      <c r="A42">
        <v>41</v>
      </c>
      <c r="B42" t="s">
        <v>46</v>
      </c>
    </row>
    <row r="43" spans="1:2" x14ac:dyDescent="0.25">
      <c r="A43">
        <v>42</v>
      </c>
      <c r="B43" t="s">
        <v>50</v>
      </c>
    </row>
    <row r="44" spans="1:2" x14ac:dyDescent="0.25">
      <c r="A44">
        <v>43</v>
      </c>
      <c r="B44" t="s">
        <v>48</v>
      </c>
    </row>
    <row r="45" spans="1:2" x14ac:dyDescent="0.25">
      <c r="A45">
        <v>44</v>
      </c>
      <c r="B45" t="s">
        <v>70</v>
      </c>
    </row>
    <row r="46" spans="1:2" x14ac:dyDescent="0.25">
      <c r="A46">
        <v>45</v>
      </c>
      <c r="B46" t="s">
        <v>56</v>
      </c>
    </row>
    <row r="47" spans="1:2" x14ac:dyDescent="0.25">
      <c r="A47">
        <v>46</v>
      </c>
      <c r="B47" t="s">
        <v>68</v>
      </c>
    </row>
    <row r="48" spans="1:2" x14ac:dyDescent="0.25">
      <c r="A48">
        <v>47</v>
      </c>
      <c r="B48" t="s">
        <v>27</v>
      </c>
    </row>
    <row r="49" spans="1:2" x14ac:dyDescent="0.25">
      <c r="A49">
        <v>48</v>
      </c>
      <c r="B49" t="s">
        <v>25</v>
      </c>
    </row>
    <row r="50" spans="1:2" x14ac:dyDescent="0.25">
      <c r="A50">
        <v>49</v>
      </c>
      <c r="B50" t="s">
        <v>26</v>
      </c>
    </row>
    <row r="51" spans="1:2" x14ac:dyDescent="0.25">
      <c r="A51">
        <v>50</v>
      </c>
      <c r="B51" t="s">
        <v>36</v>
      </c>
    </row>
    <row r="52" spans="1:2" x14ac:dyDescent="0.25">
      <c r="A52">
        <v>51</v>
      </c>
      <c r="B52" t="s">
        <v>49</v>
      </c>
    </row>
    <row r="53" spans="1:2" x14ac:dyDescent="0.25">
      <c r="A53">
        <v>52</v>
      </c>
      <c r="B53" t="s">
        <v>28</v>
      </c>
    </row>
    <row r="54" spans="1:2" x14ac:dyDescent="0.25">
      <c r="A54">
        <v>53</v>
      </c>
      <c r="B54" t="s">
        <v>32</v>
      </c>
    </row>
    <row r="55" spans="1:2" x14ac:dyDescent="0.25">
      <c r="A55">
        <v>54</v>
      </c>
      <c r="B55" t="s">
        <v>33</v>
      </c>
    </row>
    <row r="56" spans="1:2" x14ac:dyDescent="0.25">
      <c r="A56">
        <v>55</v>
      </c>
      <c r="B56" t="s">
        <v>51</v>
      </c>
    </row>
  </sheetData>
  <conditionalFormatting sqref="A1:B3 B54:B56 B4:B52 A4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3119-0A26-42E2-9D1C-AB89C2A848A2}">
  <dimension ref="B1:F40"/>
  <sheetViews>
    <sheetView showGridLines="0" workbookViewId="0">
      <selection activeCell="J5" sqref="J5"/>
    </sheetView>
  </sheetViews>
  <sheetFormatPr baseColWidth="10" defaultRowHeight="15" x14ac:dyDescent="0.25"/>
  <cols>
    <col min="2" max="2" width="20.7109375" bestFit="1" customWidth="1"/>
    <col min="3" max="3" width="12" style="4" bestFit="1" customWidth="1"/>
  </cols>
  <sheetData>
    <row r="1" spans="2:6" ht="15.75" thickBot="1" x14ac:dyDescent="0.3"/>
    <row r="2" spans="2:6" ht="15.75" thickBot="1" x14ac:dyDescent="0.3">
      <c r="B2" s="5" t="s">
        <v>0</v>
      </c>
      <c r="C2" s="6" t="s">
        <v>73</v>
      </c>
      <c r="E2" s="9" t="s">
        <v>0</v>
      </c>
      <c r="F2" s="10">
        <f>+SUM(C:C)</f>
        <v>546410</v>
      </c>
    </row>
    <row r="3" spans="2:6" x14ac:dyDescent="0.25">
      <c r="B3" s="3" t="s">
        <v>13</v>
      </c>
      <c r="C3" s="4">
        <v>27500</v>
      </c>
    </row>
    <row r="4" spans="2:6" x14ac:dyDescent="0.25">
      <c r="B4" s="3" t="s">
        <v>67</v>
      </c>
      <c r="C4" s="4">
        <v>12000</v>
      </c>
    </row>
    <row r="5" spans="2:6" x14ac:dyDescent="0.25">
      <c r="B5" s="3" t="s">
        <v>18</v>
      </c>
      <c r="C5" s="4">
        <v>17166.666666666668</v>
      </c>
    </row>
    <row r="6" spans="2:6" x14ac:dyDescent="0.25">
      <c r="B6" s="3" t="s">
        <v>17</v>
      </c>
      <c r="C6" s="4">
        <v>22150</v>
      </c>
    </row>
    <row r="7" spans="2:6" x14ac:dyDescent="0.25">
      <c r="B7" s="3" t="s">
        <v>35</v>
      </c>
      <c r="C7" s="4">
        <v>7725</v>
      </c>
    </row>
    <row r="8" spans="2:6" x14ac:dyDescent="0.25">
      <c r="B8" s="3" t="s">
        <v>57</v>
      </c>
      <c r="C8" s="4">
        <v>5100</v>
      </c>
    </row>
    <row r="9" spans="2:6" x14ac:dyDescent="0.25">
      <c r="B9" s="3" t="s">
        <v>10</v>
      </c>
      <c r="C9" s="4">
        <v>51000</v>
      </c>
    </row>
    <row r="10" spans="2:6" x14ac:dyDescent="0.25">
      <c r="B10" s="3" t="s">
        <v>37</v>
      </c>
      <c r="C10" s="4">
        <v>46400</v>
      </c>
    </row>
    <row r="11" spans="2:6" x14ac:dyDescent="0.25">
      <c r="B11" s="3" t="s">
        <v>9</v>
      </c>
      <c r="C11" s="4">
        <v>36783.333333333336</v>
      </c>
    </row>
    <row r="12" spans="2:6" x14ac:dyDescent="0.25">
      <c r="B12" s="3" t="s">
        <v>45</v>
      </c>
      <c r="C12" s="4">
        <v>7666.666666666667</v>
      </c>
    </row>
    <row r="13" spans="2:6" x14ac:dyDescent="0.25">
      <c r="B13" s="3" t="s">
        <v>19</v>
      </c>
      <c r="C13" s="4">
        <v>7433.333333333333</v>
      </c>
    </row>
    <row r="14" spans="2:6" x14ac:dyDescent="0.25">
      <c r="B14" s="3" t="s">
        <v>24</v>
      </c>
      <c r="C14" s="4">
        <v>32280</v>
      </c>
    </row>
    <row r="15" spans="2:6" x14ac:dyDescent="0.25">
      <c r="C15"/>
    </row>
    <row r="16" spans="2:6" x14ac:dyDescent="0.25">
      <c r="B16" s="16" t="s">
        <v>80</v>
      </c>
      <c r="C16" s="17" t="s">
        <v>81</v>
      </c>
    </row>
    <row r="17" spans="2:3" x14ac:dyDescent="0.25">
      <c r="B17" s="3">
        <v>3</v>
      </c>
      <c r="C17" s="4">
        <v>27500</v>
      </c>
    </row>
    <row r="18" spans="2:3" x14ac:dyDescent="0.25">
      <c r="B18" s="3">
        <v>5</v>
      </c>
      <c r="C18" s="4">
        <v>12000</v>
      </c>
    </row>
    <row r="19" spans="2:3" x14ac:dyDescent="0.25">
      <c r="B19" s="3">
        <v>8</v>
      </c>
      <c r="C19" s="4">
        <v>17166.666666666668</v>
      </c>
    </row>
    <row r="20" spans="2:3" x14ac:dyDescent="0.25">
      <c r="B20" s="3">
        <v>9</v>
      </c>
      <c r="C20" s="4">
        <v>22150</v>
      </c>
    </row>
    <row r="21" spans="2:3" x14ac:dyDescent="0.25">
      <c r="B21" s="3">
        <v>14</v>
      </c>
      <c r="C21" s="4">
        <v>7725</v>
      </c>
    </row>
    <row r="22" spans="2:3" x14ac:dyDescent="0.25">
      <c r="B22" s="3">
        <v>18</v>
      </c>
      <c r="C22" s="4">
        <v>5100</v>
      </c>
    </row>
    <row r="23" spans="2:3" x14ac:dyDescent="0.25">
      <c r="B23" s="3">
        <v>22</v>
      </c>
      <c r="C23" s="4">
        <v>51000</v>
      </c>
    </row>
    <row r="24" spans="2:3" x14ac:dyDescent="0.25">
      <c r="B24" s="3">
        <v>23</v>
      </c>
      <c r="C24" s="4">
        <v>46400</v>
      </c>
    </row>
    <row r="25" spans="2:3" x14ac:dyDescent="0.25">
      <c r="B25" s="3">
        <v>26</v>
      </c>
      <c r="C25" s="4">
        <v>36783.333333333336</v>
      </c>
    </row>
    <row r="26" spans="2:3" x14ac:dyDescent="0.25">
      <c r="B26" s="3">
        <v>27</v>
      </c>
      <c r="C26" s="4">
        <v>7666.666666666667</v>
      </c>
    </row>
    <row r="27" spans="2:3" x14ac:dyDescent="0.25">
      <c r="B27" s="3">
        <v>33</v>
      </c>
      <c r="C27" s="4">
        <v>7433.333333333333</v>
      </c>
    </row>
    <row r="28" spans="2:3" x14ac:dyDescent="0.25">
      <c r="B28" s="3">
        <v>34</v>
      </c>
      <c r="C28" s="4">
        <v>32280</v>
      </c>
    </row>
    <row r="29" spans="2:3" x14ac:dyDescent="0.25">
      <c r="C29"/>
    </row>
    <row r="30" spans="2:3" x14ac:dyDescent="0.25">
      <c r="C30"/>
    </row>
    <row r="31" spans="2:3" x14ac:dyDescent="0.25">
      <c r="C31"/>
    </row>
    <row r="32" spans="2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D0CD-9F9F-4DBE-B7D5-5697433A4FB2}">
  <dimension ref="B2:E15"/>
  <sheetViews>
    <sheetView showGridLines="0" workbookViewId="0">
      <selection activeCell="D20" sqref="D20"/>
    </sheetView>
  </sheetViews>
  <sheetFormatPr baseColWidth="10" defaultRowHeight="15" x14ac:dyDescent="0.25"/>
  <cols>
    <col min="2" max="2" width="20.7109375" bestFit="1" customWidth="1"/>
    <col min="3" max="3" width="17.85546875" customWidth="1"/>
    <col min="4" max="4" width="14" customWidth="1"/>
  </cols>
  <sheetData>
    <row r="2" spans="2:5" x14ac:dyDescent="0.25">
      <c r="B2" s="7" t="s">
        <v>0</v>
      </c>
      <c r="C2" s="11" t="s">
        <v>74</v>
      </c>
      <c r="D2" s="11" t="s">
        <v>75</v>
      </c>
      <c r="E2" s="11" t="s">
        <v>78</v>
      </c>
    </row>
    <row r="3" spans="2:5" x14ac:dyDescent="0.25">
      <c r="B3" s="12" t="s">
        <v>13</v>
      </c>
      <c r="C3" s="8">
        <v>29333.333333333332</v>
      </c>
      <c r="D3" s="8">
        <v>22000</v>
      </c>
      <c r="E3" s="14">
        <f>+((D3-C3)/C3)*1</f>
        <v>-0.24999999999999997</v>
      </c>
    </row>
    <row r="4" spans="2:5" x14ac:dyDescent="0.25">
      <c r="B4" s="12" t="s">
        <v>67</v>
      </c>
      <c r="C4" s="8">
        <v>12000</v>
      </c>
      <c r="D4" s="8">
        <v>12000</v>
      </c>
      <c r="E4" s="14">
        <f t="shared" ref="E4:E15" si="0">+((D4-C4)/C4)*1</f>
        <v>0</v>
      </c>
    </row>
    <row r="5" spans="2:5" x14ac:dyDescent="0.25">
      <c r="B5" s="12" t="s">
        <v>18</v>
      </c>
      <c r="C5" s="8">
        <v>16200</v>
      </c>
      <c r="D5" s="8">
        <v>19100</v>
      </c>
      <c r="E5" s="14">
        <f t="shared" si="0"/>
        <v>0.17901234567901234</v>
      </c>
    </row>
    <row r="6" spans="2:5" x14ac:dyDescent="0.25">
      <c r="B6" s="12" t="s">
        <v>17</v>
      </c>
      <c r="C6" s="8">
        <v>21233.333333333332</v>
      </c>
      <c r="D6" s="8">
        <v>24900</v>
      </c>
      <c r="E6" s="14">
        <f t="shared" si="0"/>
        <v>0.17268445839874419</v>
      </c>
    </row>
    <row r="7" spans="2:5" x14ac:dyDescent="0.25">
      <c r="B7" s="12" t="s">
        <v>35</v>
      </c>
      <c r="C7" s="8">
        <v>7100</v>
      </c>
      <c r="D7" s="8">
        <v>9600</v>
      </c>
      <c r="E7" s="14">
        <f t="shared" si="0"/>
        <v>0.352112676056338</v>
      </c>
    </row>
    <row r="8" spans="2:5" x14ac:dyDescent="0.25">
      <c r="B8" s="12" t="s">
        <v>57</v>
      </c>
      <c r="C8" s="8">
        <v>4450</v>
      </c>
      <c r="D8" s="8">
        <v>6400</v>
      </c>
      <c r="E8" s="14">
        <f t="shared" si="0"/>
        <v>0.43820224719101125</v>
      </c>
    </row>
    <row r="9" spans="2:5" x14ac:dyDescent="0.25">
      <c r="B9" s="12" t="s">
        <v>10</v>
      </c>
      <c r="C9" s="8">
        <v>53700</v>
      </c>
      <c r="D9" s="8">
        <v>40200</v>
      </c>
      <c r="E9" s="14">
        <f t="shared" si="0"/>
        <v>-0.25139664804469275</v>
      </c>
    </row>
    <row r="10" spans="2:5" x14ac:dyDescent="0.25">
      <c r="B10" s="12" t="s">
        <v>37</v>
      </c>
      <c r="C10" s="8">
        <v>45625</v>
      </c>
      <c r="D10" s="8">
        <v>49500</v>
      </c>
      <c r="E10" s="14">
        <f t="shared" si="0"/>
        <v>8.4931506849315067E-2</v>
      </c>
    </row>
    <row r="11" spans="2:5" x14ac:dyDescent="0.25">
      <c r="B11" s="12" t="s">
        <v>9</v>
      </c>
      <c r="C11" s="8">
        <v>36960</v>
      </c>
      <c r="D11" s="8">
        <v>35900</v>
      </c>
      <c r="E11" s="14">
        <f t="shared" si="0"/>
        <v>-2.867965367965368E-2</v>
      </c>
    </row>
    <row r="12" spans="2:5" x14ac:dyDescent="0.25">
      <c r="B12" s="12" t="s">
        <v>45</v>
      </c>
      <c r="C12" s="8">
        <v>8100</v>
      </c>
      <c r="D12" s="8">
        <v>6800</v>
      </c>
      <c r="E12" s="14">
        <f t="shared" si="0"/>
        <v>-0.16049382716049382</v>
      </c>
    </row>
    <row r="13" spans="2:5" x14ac:dyDescent="0.25">
      <c r="B13" s="12" t="s">
        <v>19</v>
      </c>
      <c r="C13" s="8">
        <v>7650</v>
      </c>
      <c r="D13" s="8">
        <v>7000</v>
      </c>
      <c r="E13" s="14">
        <f t="shared" si="0"/>
        <v>-8.4967320261437912E-2</v>
      </c>
    </row>
    <row r="14" spans="2:5" x14ac:dyDescent="0.25">
      <c r="B14" s="12" t="s">
        <v>24</v>
      </c>
      <c r="C14" s="8">
        <v>32200</v>
      </c>
      <c r="D14" s="8">
        <v>32600</v>
      </c>
      <c r="E14" s="14">
        <f t="shared" si="0"/>
        <v>1.2422360248447204E-2</v>
      </c>
    </row>
    <row r="15" spans="2:5" x14ac:dyDescent="0.25">
      <c r="B15" s="13" t="s">
        <v>76</v>
      </c>
      <c r="C15" s="4">
        <f>+SUM(C3:C14)</f>
        <v>274551.66666666663</v>
      </c>
      <c r="D15" s="4">
        <f>+SUM(D3:D14)</f>
        <v>266000</v>
      </c>
      <c r="E15" s="14">
        <f t="shared" si="0"/>
        <v>-3.1147749968129725E-2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9F9ABEACC80644A236E8B4AD987C55" ma:contentTypeVersion="8" ma:contentTypeDescription="Crear nuevo documento." ma:contentTypeScope="" ma:versionID="168d376d38e383bceda8aa0b4abf5406">
  <xsd:schema xmlns:xsd="http://www.w3.org/2001/XMLSchema" xmlns:xs="http://www.w3.org/2001/XMLSchema" xmlns:p="http://schemas.microsoft.com/office/2006/metadata/properties" xmlns:ns3="78fab53e-fee9-400f-9f52-54357a69c09c" targetNamespace="http://schemas.microsoft.com/office/2006/metadata/properties" ma:root="true" ma:fieldsID="15a8b9ee0df467fa52e9f0d32ca3bf8d" ns3:_="">
    <xsd:import namespace="78fab53e-fee9-400f-9f52-54357a69c0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ab53e-fee9-400f-9f52-54357a69c0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48F60E-D833-4EA5-9D19-DC18539863E0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8fab53e-fee9-400f-9f52-54357a69c09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E24037B-E11D-4402-AD49-0A5DC625D8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B7397-C408-4BE9-9D2F-6409E76CA0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ab53e-fee9-400f-9f52-54357a69c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atributtes</vt:lpstr>
      <vt:lpstr>mdl_lineal</vt:lpstr>
      <vt:lpstr>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Ronald Eduadrdo Barberi Riaño</cp:lastModifiedBy>
  <dcterms:created xsi:type="dcterms:W3CDTF">2015-06-05T18:19:34Z</dcterms:created>
  <dcterms:modified xsi:type="dcterms:W3CDTF">2025-11-09T03:40:13Z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0x010100B69F9ABEACC80644A236E8B4AD987C55</vt:lpwstr>
  </property>
</Properties>
</file>